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ndrea\automated-rarefaction-depth\"/>
    </mc:Choice>
  </mc:AlternateContent>
  <xr:revisionPtr revIDLastSave="0" documentId="13_ncr:1_{F69321CA-0E72-4560-8322-A44F1547C1D5}" xr6:coauthVersionLast="47" xr6:coauthVersionMax="47" xr10:uidLastSave="{00000000-0000-0000-0000-000000000000}"/>
  <bookViews>
    <workbookView xWindow="-110" yWindow="-110" windowWidth="19420" windowHeight="10300" xr2:uid="{C61BE87B-9193-404E-BE35-08D16C3A0D0E}"/>
  </bookViews>
  <sheets>
    <sheet name="rarefaction_analysis_ad_shannon" sheetId="2" r:id="rId1"/>
    <sheet name="Sheet1" sheetId="1" r:id="rId2"/>
  </sheets>
  <definedNames>
    <definedName name="ExternalData_1" localSheetId="0" hidden="1">'rarefaction_analysis_ad_shannon'!$A$1:$DD$49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4" i="2" l="1"/>
  <c r="D63" i="2"/>
  <c r="D62" i="2"/>
  <c r="D61" i="2"/>
  <c r="D60" i="2"/>
  <c r="D59" i="2"/>
  <c r="D58" i="2"/>
  <c r="D57" i="2"/>
  <c r="D56" i="2"/>
  <c r="F64" i="2"/>
  <c r="F63" i="2"/>
  <c r="F62" i="2"/>
  <c r="F61" i="2"/>
  <c r="F60" i="2"/>
  <c r="F59" i="2"/>
  <c r="F58" i="2"/>
  <c r="F57" i="2"/>
  <c r="E64" i="2"/>
  <c r="E63" i="2"/>
  <c r="E62" i="2"/>
  <c r="E61" i="2"/>
  <c r="E60" i="2"/>
  <c r="E59" i="2"/>
  <c r="E58" i="2"/>
  <c r="E57" i="2"/>
  <c r="F56" i="2"/>
  <c r="E56" i="2"/>
  <c r="F55" i="2"/>
  <c r="E55" i="2"/>
  <c r="D5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EF4340-280C-4731-876C-77811933C195}" keepAlive="1" name="Query - rarefaction_analysis_ad_shannon" description="Connection to the 'rarefaction_analysis_ad_shannon' query in the workbook." type="5" refreshedVersion="8" background="1" saveData="1">
    <dbPr connection="Provider=Microsoft.Mashup.OleDb.1;Data Source=$Workbook$;Location=rarefaction_analysis_ad_shannon;Extended Properties=&quot;&quot;" command="SELECT * FROM [rarefaction_analysis_ad_shannon]"/>
  </connection>
</connections>
</file>

<file path=xl/sharedStrings.xml><?xml version="1.0" encoding="utf-8"?>
<sst xmlns="http://schemas.openxmlformats.org/spreadsheetml/2006/main" count="459" uniqueCount="235">
  <si>
    <t>sample-id</t>
  </si>
  <si>
    <t>depth-1_iter-1</t>
  </si>
  <si>
    <t>depth-1_iter-2</t>
  </si>
  <si>
    <t>depth-1_iter-3</t>
  </si>
  <si>
    <t>depth-1_iter-4</t>
  </si>
  <si>
    <t>depth-1_iter-5</t>
  </si>
  <si>
    <t>depth-1_iter-6</t>
  </si>
  <si>
    <t>depth-1_iter-7</t>
  </si>
  <si>
    <t>depth-1_iter-8</t>
  </si>
  <si>
    <t>depth-1_iter-9</t>
  </si>
  <si>
    <t>depth-1_iter-10</t>
  </si>
  <si>
    <t>depth-537_iter-1</t>
  </si>
  <si>
    <t>depth-537_iter-2</t>
  </si>
  <si>
    <t>depth-537_iter-3</t>
  </si>
  <si>
    <t>depth-537_iter-4</t>
  </si>
  <si>
    <t>depth-537_iter-5</t>
  </si>
  <si>
    <t>depth-537_iter-6</t>
  </si>
  <si>
    <t>depth-537_iter-7</t>
  </si>
  <si>
    <t>depth-537_iter-8</t>
  </si>
  <si>
    <t>depth-537_iter-9</t>
  </si>
  <si>
    <t>depth-537_iter-10</t>
  </si>
  <si>
    <t>depth-1073_iter-1</t>
  </si>
  <si>
    <t>depth-1073_iter-2</t>
  </si>
  <si>
    <t>depth-1073_iter-3</t>
  </si>
  <si>
    <t>depth-1073_iter-4</t>
  </si>
  <si>
    <t>depth-1073_iter-5</t>
  </si>
  <si>
    <t>depth-1073_iter-6</t>
  </si>
  <si>
    <t>depth-1073_iter-7</t>
  </si>
  <si>
    <t>depth-1073_iter-8</t>
  </si>
  <si>
    <t>depth-1073_iter-9</t>
  </si>
  <si>
    <t>depth-1073_iter-10</t>
  </si>
  <si>
    <t>depth-1609_iter-1</t>
  </si>
  <si>
    <t>depth-1609_iter-2</t>
  </si>
  <si>
    <t>depth-1609_iter-3</t>
  </si>
  <si>
    <t>depth-1609_iter-4</t>
  </si>
  <si>
    <t>depth-1609_iter-5</t>
  </si>
  <si>
    <t>depth-1609_iter-6</t>
  </si>
  <si>
    <t>depth-1609_iter-7</t>
  </si>
  <si>
    <t>depth-1609_iter-8</t>
  </si>
  <si>
    <t>depth-1609_iter-9</t>
  </si>
  <si>
    <t>depth-1609_iter-10</t>
  </si>
  <si>
    <t>depth-2145_iter-1</t>
  </si>
  <si>
    <t>depth-2145_iter-2</t>
  </si>
  <si>
    <t>depth-2145_iter-3</t>
  </si>
  <si>
    <t>depth-2145_iter-4</t>
  </si>
  <si>
    <t>depth-2145_iter-5</t>
  </si>
  <si>
    <t>depth-2145_iter-6</t>
  </si>
  <si>
    <t>depth-2145_iter-7</t>
  </si>
  <si>
    <t>depth-2145_iter-8</t>
  </si>
  <si>
    <t>depth-2145_iter-9</t>
  </si>
  <si>
    <t>depth-2145_iter-10</t>
  </si>
  <si>
    <t>depth-2682_iter-1</t>
  </si>
  <si>
    <t>depth-2682_iter-2</t>
  </si>
  <si>
    <t>depth-2682_iter-3</t>
  </si>
  <si>
    <t>depth-2682_iter-4</t>
  </si>
  <si>
    <t>depth-2682_iter-5</t>
  </si>
  <si>
    <t>depth-2682_iter-6</t>
  </si>
  <si>
    <t>depth-2682_iter-7</t>
  </si>
  <si>
    <t>depth-2682_iter-8</t>
  </si>
  <si>
    <t>depth-2682_iter-9</t>
  </si>
  <si>
    <t>depth-2682_iter-10</t>
  </si>
  <si>
    <t>depth-3218_iter-1</t>
  </si>
  <si>
    <t>depth-3218_iter-2</t>
  </si>
  <si>
    <t>depth-3218_iter-3</t>
  </si>
  <si>
    <t>depth-3218_iter-4</t>
  </si>
  <si>
    <t>depth-3218_iter-5</t>
  </si>
  <si>
    <t>depth-3218_iter-6</t>
  </si>
  <si>
    <t>depth-3218_iter-7</t>
  </si>
  <si>
    <t>depth-3218_iter-8</t>
  </si>
  <si>
    <t>depth-3218_iter-9</t>
  </si>
  <si>
    <t>depth-3218_iter-10</t>
  </si>
  <si>
    <t>depth-3754_iter-1</t>
  </si>
  <si>
    <t>depth-3754_iter-2</t>
  </si>
  <si>
    <t>depth-3754_iter-3</t>
  </si>
  <si>
    <t>depth-3754_iter-4</t>
  </si>
  <si>
    <t>depth-3754_iter-5</t>
  </si>
  <si>
    <t>depth-3754_iter-6</t>
  </si>
  <si>
    <t>depth-3754_iter-7</t>
  </si>
  <si>
    <t>depth-3754_iter-8</t>
  </si>
  <si>
    <t>depth-3754_iter-9</t>
  </si>
  <si>
    <t>depth-3754_iter-10</t>
  </si>
  <si>
    <t>depth-4290_iter-1</t>
  </si>
  <si>
    <t>depth-4290_iter-2</t>
  </si>
  <si>
    <t>depth-4290_iter-3</t>
  </si>
  <si>
    <t>depth-4290_iter-4</t>
  </si>
  <si>
    <t>depth-4290_iter-5</t>
  </si>
  <si>
    <t>depth-4290_iter-6</t>
  </si>
  <si>
    <t>depth-4290_iter-7</t>
  </si>
  <si>
    <t>depth-4290_iter-8</t>
  </si>
  <si>
    <t>depth-4290_iter-9</t>
  </si>
  <si>
    <t>depth-4290_iter-10</t>
  </si>
  <si>
    <t>depth-4827_iter-1</t>
  </si>
  <si>
    <t>depth-4827_iter-2</t>
  </si>
  <si>
    <t>depth-4827_iter-3</t>
  </si>
  <si>
    <t>depth-4827_iter-4</t>
  </si>
  <si>
    <t>depth-4827_iter-5</t>
  </si>
  <si>
    <t>depth-4827_iter-6</t>
  </si>
  <si>
    <t>depth-4827_iter-7</t>
  </si>
  <si>
    <t>depth-4827_iter-8</t>
  </si>
  <si>
    <t>depth-4827_iter-9</t>
  </si>
  <si>
    <t>depth-4827_iter-10</t>
  </si>
  <si>
    <t>barcode</t>
  </si>
  <si>
    <t>mouse_id</t>
  </si>
  <si>
    <t>genotype</t>
  </si>
  <si>
    <t>cage_id</t>
  </si>
  <si>
    <t>donor</t>
  </si>
  <si>
    <t>donor_status</t>
  </si>
  <si>
    <t>genotype_and_donor_status</t>
  </si>
  <si>
    <t>recip.220.WT.OB1.D7</t>
  </si>
  <si>
    <t>CCTCCGTCATGG</t>
  </si>
  <si>
    <t>wild type</t>
  </si>
  <si>
    <t>C35</t>
  </si>
  <si>
    <t>hc_1</t>
  </si>
  <si>
    <t>Healthy</t>
  </si>
  <si>
    <t>wild type and Healthy</t>
  </si>
  <si>
    <t>recip.290.ASO.OB2.D1</t>
  </si>
  <si>
    <t>AACAGTAAACAA</t>
  </si>
  <si>
    <t>susceptible</t>
  </si>
  <si>
    <t>susceptible and Healthy</t>
  </si>
  <si>
    <t>recip.389.WT.HC2.D21</t>
  </si>
  <si>
    <t>ATGTATCAATTA</t>
  </si>
  <si>
    <t>C31</t>
  </si>
  <si>
    <t>recip.391.ASO.PD2.D14</t>
  </si>
  <si>
    <t>GTCAGTATGGCT</t>
  </si>
  <si>
    <t>recip.391.ASO.PD2.D21</t>
  </si>
  <si>
    <t>AGACAGTAGGAG</t>
  </si>
  <si>
    <t>recip.391.ASO.PD2.D7</t>
  </si>
  <si>
    <t>GGTCTTAGCACC</t>
  </si>
  <si>
    <t>recip.400.ASO.HC2.D14</t>
  </si>
  <si>
    <t>CGTTCGCTAGCC</t>
  </si>
  <si>
    <t>recip.401.ASO.HC2.D7</t>
  </si>
  <si>
    <t>ATTTACAATTGA</t>
  </si>
  <si>
    <t>recip.403.ASO.PD2.D21</t>
  </si>
  <si>
    <t>CGCAGATTAGTA</t>
  </si>
  <si>
    <t>recip.411.ASO.HC2.D14</t>
  </si>
  <si>
    <t>ATGTTAGGGAAT</t>
  </si>
  <si>
    <t>recip.411.ASO.HC2.D21</t>
  </si>
  <si>
    <t>CTCATATGCTAT</t>
  </si>
  <si>
    <t>recip.411.ASO.HC2.D49</t>
  </si>
  <si>
    <t>GCAACGAACGAG</t>
  </si>
  <si>
    <t>recip.412.ASO.HC2.D14</t>
  </si>
  <si>
    <t>AAGTGGCTATCC</t>
  </si>
  <si>
    <t>recip.412.ASO.HC2.D7</t>
  </si>
  <si>
    <t>GCATTCGGCGTT</t>
  </si>
  <si>
    <t>recip.413.WT.HC2.D7</t>
  </si>
  <si>
    <t>ACCAGTGACTCA</t>
  </si>
  <si>
    <t>recip.456.ASO.HC3.D49</t>
  </si>
  <si>
    <t>ACGGCGTTATGT</t>
  </si>
  <si>
    <t>C42</t>
  </si>
  <si>
    <t>recip.458.ASO.HC3.D21</t>
  </si>
  <si>
    <t>ACGGCCCTGGAG</t>
  </si>
  <si>
    <t>recip.458.ASO.HC3.D49</t>
  </si>
  <si>
    <t>CATTTGACGACG</t>
  </si>
  <si>
    <t>recip.459.WT.HC3.D14</t>
  </si>
  <si>
    <t>ACATGGGCGGAA</t>
  </si>
  <si>
    <t>recip.459.WT.HC3.D21</t>
  </si>
  <si>
    <t>CATAAATTCTTG</t>
  </si>
  <si>
    <t>recip.459.WT.HC3.D49</t>
  </si>
  <si>
    <t>GCTGCGTATACC</t>
  </si>
  <si>
    <t>C43</t>
  </si>
  <si>
    <t>pd_1</t>
  </si>
  <si>
    <t>PD</t>
  </si>
  <si>
    <t>susceptible and PD</t>
  </si>
  <si>
    <t>recip.460.WT.HC3.D14</t>
  </si>
  <si>
    <t>CTGCGGATATAC</t>
  </si>
  <si>
    <t>recip.460.WT.HC3.D21</t>
  </si>
  <si>
    <t>GTCAATTAGTGG</t>
  </si>
  <si>
    <t>recip.460.WT.HC3.D49</t>
  </si>
  <si>
    <t>GAGAAGCTTATA</t>
  </si>
  <si>
    <t>wild type and PD</t>
  </si>
  <si>
    <t>recip.460.WT.HC3.D7</t>
  </si>
  <si>
    <t>GACCCGTTTCGC</t>
  </si>
  <si>
    <t>recip.461.ASO.HC3.D21</t>
  </si>
  <si>
    <t>AGCCCGCAAAGG</t>
  </si>
  <si>
    <t>recip.461.ASO.HC3.D49</t>
  </si>
  <si>
    <t>GGCGTAACGGCA</t>
  </si>
  <si>
    <t>C44</t>
  </si>
  <si>
    <t>recip.461.ASO.HC3.D7</t>
  </si>
  <si>
    <t>ATTGCCTTGATT</t>
  </si>
  <si>
    <t>recip.462.WT.PD3.D14</t>
  </si>
  <si>
    <t>GTGAGGGCAAGT</t>
  </si>
  <si>
    <t>recip.462.WT.PD3.D21</t>
  </si>
  <si>
    <t>GGCCTATAAGTC</t>
  </si>
  <si>
    <t>recip.462.WT.PD3.D49</t>
  </si>
  <si>
    <t>AATACAGACCTG</t>
  </si>
  <si>
    <t>recip.462.WT.PD3.D7</t>
  </si>
  <si>
    <t>TTAGGATTCTAT</t>
  </si>
  <si>
    <t>recip.463.WT.PD3.D14</t>
  </si>
  <si>
    <t>ATATTGGCAGCC</t>
  </si>
  <si>
    <t>recip.463.WT.PD3.D21</t>
  </si>
  <si>
    <t>CGCGGCGCAGCT</t>
  </si>
  <si>
    <t>recip.463.WT.PD3.D7</t>
  </si>
  <si>
    <t>GTTTATCTTAAG</t>
  </si>
  <si>
    <t>recip.464.WT.PD3.D14</t>
  </si>
  <si>
    <t>TCATCCGTCGGC</t>
  </si>
  <si>
    <t>recip.465.ASO.PD3.D14</t>
  </si>
  <si>
    <t>GGCTTCGGAGCG</t>
  </si>
  <si>
    <t>recip.465.ASO.PD3.D7</t>
  </si>
  <si>
    <t>CAGTCTAGTACG</t>
  </si>
  <si>
    <t>recip.466.ASO.PD3.D7</t>
  </si>
  <si>
    <t>GTGGGACTGCGC</t>
  </si>
  <si>
    <t>recip.467.WT.HC3.D49.a</t>
  </si>
  <si>
    <t>GTCAGGTGCGGC</t>
  </si>
  <si>
    <t>recip.467.WT.HC3.D49.b</t>
  </si>
  <si>
    <t>GTTAACTTACTA</t>
  </si>
  <si>
    <t>C49</t>
  </si>
  <si>
    <t>recip.536.ASO.PD4.D49</t>
  </si>
  <si>
    <t>CAAATTCGGGAT</t>
  </si>
  <si>
    <t>recip.537.WT.PD4.D21</t>
  </si>
  <si>
    <t>CTCTATTCCACC</t>
  </si>
  <si>
    <t>recip.538.WT.PD4.D21</t>
  </si>
  <si>
    <t>ATGGATAGCTAA</t>
  </si>
  <si>
    <t>recip.539.ASO.PD4.D14</t>
  </si>
  <si>
    <t>GATCCGGCAGGA</t>
  </si>
  <si>
    <t>recip.539.ASO.PD4.D7</t>
  </si>
  <si>
    <t>GTTCGAGTGAAT</t>
  </si>
  <si>
    <t>recip.540.ASO.HC4.D14</t>
  </si>
  <si>
    <t>CTTCCAACTCAT</t>
  </si>
  <si>
    <t>recip.540.ASO.HC4.D7</t>
  </si>
  <si>
    <t>CGGCCTAAGTTC</t>
  </si>
  <si>
    <t>depth_1</t>
  </si>
  <si>
    <t>depth_537</t>
  </si>
  <si>
    <t>depth_1073</t>
  </si>
  <si>
    <t>depth_1609</t>
  </si>
  <si>
    <t>depth_2145</t>
  </si>
  <si>
    <t>depth_2682</t>
  </si>
  <si>
    <t>depth_3218</t>
  </si>
  <si>
    <t>depth_3754</t>
  </si>
  <si>
    <t>depth_4290</t>
  </si>
  <si>
    <t>depth_4827</t>
  </si>
  <si>
    <t>p_25</t>
  </si>
  <si>
    <t>p_75</t>
  </si>
  <si>
    <t xml:space="preserve"> average seems about right, p_25 and p_75 definitely not the same as in the plot (way narrower around average in plot</t>
  </si>
  <si>
    <t>ad, shannon, pd_1 (donor):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</si>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</sst>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BBC27D8-DCA6-447F-B7B2-DAB865393713}" autoFormatId="16" applyNumberFormats="0" applyBorderFormats="0" applyFontFormats="0" applyPatternFormats="0" applyAlignmentFormats="0" applyWidthHeightFormats="0">
  <queryTableRefresh nextId="109">
    <queryTableFields count="108">
      <queryTableField id="1" name="sample-id" tableColumnId="1"/>
      <queryTableField id="2" name="depth-1_iter-1" tableColumnId="2"/>
      <queryTableField id="3" name="depth-1_iter-2" tableColumnId="3"/>
      <queryTableField id="4" name="depth-1_iter-3" tableColumnId="4"/>
      <queryTableField id="5" name="depth-1_iter-4" tableColumnId="5"/>
      <queryTableField id="6" name="depth-1_iter-5" tableColumnId="6"/>
      <queryTableField id="7" name="depth-1_iter-6" tableColumnId="7"/>
      <queryTableField id="8" name="depth-1_iter-7" tableColumnId="8"/>
      <queryTableField id="9" name="depth-1_iter-8" tableColumnId="9"/>
      <queryTableField id="10" name="depth-1_iter-9" tableColumnId="10"/>
      <queryTableField id="11" name="depth-1_iter-10" tableColumnId="11"/>
      <queryTableField id="12" name="depth-537_iter-1" tableColumnId="12"/>
      <queryTableField id="13" name="depth-537_iter-2" tableColumnId="13"/>
      <queryTableField id="14" name="depth-537_iter-3" tableColumnId="14"/>
      <queryTableField id="15" name="depth-537_iter-4" tableColumnId="15"/>
      <queryTableField id="16" name="depth-537_iter-5" tableColumnId="16"/>
      <queryTableField id="17" name="depth-537_iter-6" tableColumnId="17"/>
      <queryTableField id="18" name="depth-537_iter-7" tableColumnId="18"/>
      <queryTableField id="19" name="depth-537_iter-8" tableColumnId="19"/>
      <queryTableField id="20" name="depth-537_iter-9" tableColumnId="20"/>
      <queryTableField id="21" name="depth-537_iter-10" tableColumnId="21"/>
      <queryTableField id="22" name="depth-1073_iter-1" tableColumnId="22"/>
      <queryTableField id="23" name="depth-1073_iter-2" tableColumnId="23"/>
      <queryTableField id="24" name="depth-1073_iter-3" tableColumnId="24"/>
      <queryTableField id="25" name="depth-1073_iter-4" tableColumnId="25"/>
      <queryTableField id="26" name="depth-1073_iter-5" tableColumnId="26"/>
      <queryTableField id="27" name="depth-1073_iter-6" tableColumnId="27"/>
      <queryTableField id="28" name="depth-1073_iter-7" tableColumnId="28"/>
      <queryTableField id="29" name="depth-1073_iter-8" tableColumnId="29"/>
      <queryTableField id="30" name="depth-1073_iter-9" tableColumnId="30"/>
      <queryTableField id="31" name="depth-1073_iter-10" tableColumnId="31"/>
      <queryTableField id="32" name="depth-1609_iter-1" tableColumnId="32"/>
      <queryTableField id="33" name="depth-1609_iter-2" tableColumnId="33"/>
      <queryTableField id="34" name="depth-1609_iter-3" tableColumnId="34"/>
      <queryTableField id="35" name="depth-1609_iter-4" tableColumnId="35"/>
      <queryTableField id="36" name="depth-1609_iter-5" tableColumnId="36"/>
      <queryTableField id="37" name="depth-1609_iter-6" tableColumnId="37"/>
      <queryTableField id="38" name="depth-1609_iter-7" tableColumnId="38"/>
      <queryTableField id="39" name="depth-1609_iter-8" tableColumnId="39"/>
      <queryTableField id="40" name="depth-1609_iter-9" tableColumnId="40"/>
      <queryTableField id="41" name="depth-1609_iter-10" tableColumnId="41"/>
      <queryTableField id="42" name="depth-2145_iter-1" tableColumnId="42"/>
      <queryTableField id="43" name="depth-2145_iter-2" tableColumnId="43"/>
      <queryTableField id="44" name="depth-2145_iter-3" tableColumnId="44"/>
      <queryTableField id="45" name="depth-2145_iter-4" tableColumnId="45"/>
      <queryTableField id="46" name="depth-2145_iter-5" tableColumnId="46"/>
      <queryTableField id="47" name="depth-2145_iter-6" tableColumnId="47"/>
      <queryTableField id="48" name="depth-2145_iter-7" tableColumnId="48"/>
      <queryTableField id="49" name="depth-2145_iter-8" tableColumnId="49"/>
      <queryTableField id="50" name="depth-2145_iter-9" tableColumnId="50"/>
      <queryTableField id="51" name="depth-2145_iter-10" tableColumnId="51"/>
      <queryTableField id="52" name="depth-2682_iter-1" tableColumnId="52"/>
      <queryTableField id="53" name="depth-2682_iter-2" tableColumnId="53"/>
      <queryTableField id="54" name="depth-2682_iter-3" tableColumnId="54"/>
      <queryTableField id="55" name="depth-2682_iter-4" tableColumnId="55"/>
      <queryTableField id="56" name="depth-2682_iter-5" tableColumnId="56"/>
      <queryTableField id="57" name="depth-2682_iter-6" tableColumnId="57"/>
      <queryTableField id="58" name="depth-2682_iter-7" tableColumnId="58"/>
      <queryTableField id="59" name="depth-2682_iter-8" tableColumnId="59"/>
      <queryTableField id="60" name="depth-2682_iter-9" tableColumnId="60"/>
      <queryTableField id="61" name="depth-2682_iter-10" tableColumnId="61"/>
      <queryTableField id="62" name="depth-3218_iter-1" tableColumnId="62"/>
      <queryTableField id="63" name="depth-3218_iter-2" tableColumnId="63"/>
      <queryTableField id="64" name="depth-3218_iter-3" tableColumnId="64"/>
      <queryTableField id="65" name="depth-3218_iter-4" tableColumnId="65"/>
      <queryTableField id="66" name="depth-3218_iter-5" tableColumnId="66"/>
      <queryTableField id="67" name="depth-3218_iter-6" tableColumnId="67"/>
      <queryTableField id="68" name="depth-3218_iter-7" tableColumnId="68"/>
      <queryTableField id="69" name="depth-3218_iter-8" tableColumnId="69"/>
      <queryTableField id="70" name="depth-3218_iter-9" tableColumnId="70"/>
      <queryTableField id="71" name="depth-3218_iter-10" tableColumnId="71"/>
      <queryTableField id="72" name="depth-3754_iter-1" tableColumnId="72"/>
      <queryTableField id="73" name="depth-3754_iter-2" tableColumnId="73"/>
      <queryTableField id="74" name="depth-3754_iter-3" tableColumnId="74"/>
      <queryTableField id="75" name="depth-3754_iter-4" tableColumnId="75"/>
      <queryTableField id="76" name="depth-3754_iter-5" tableColumnId="76"/>
      <queryTableField id="77" name="depth-3754_iter-6" tableColumnId="77"/>
      <queryTableField id="78" name="depth-3754_iter-7" tableColumnId="78"/>
      <queryTableField id="79" name="depth-3754_iter-8" tableColumnId="79"/>
      <queryTableField id="80" name="depth-3754_iter-9" tableColumnId="80"/>
      <queryTableField id="81" name="depth-3754_iter-10" tableColumnId="81"/>
      <queryTableField id="82" name="depth-4290_iter-1" tableColumnId="82"/>
      <queryTableField id="83" name="depth-4290_iter-2" tableColumnId="83"/>
      <queryTableField id="84" name="depth-4290_iter-3" tableColumnId="84"/>
      <queryTableField id="85" name="depth-4290_iter-4" tableColumnId="85"/>
      <queryTableField id="86" name="depth-4290_iter-5" tableColumnId="86"/>
      <queryTableField id="87" name="depth-4290_iter-6" tableColumnId="87"/>
      <queryTableField id="88" name="depth-4290_iter-7" tableColumnId="88"/>
      <queryTableField id="89" name="depth-4290_iter-8" tableColumnId="89"/>
      <queryTableField id="90" name="depth-4290_iter-9" tableColumnId="90"/>
      <queryTableField id="91" name="depth-4290_iter-10" tableColumnId="91"/>
      <queryTableField id="92" name="depth-4827_iter-1" tableColumnId="92"/>
      <queryTableField id="93" name="depth-4827_iter-2" tableColumnId="93"/>
      <queryTableField id="94" name="depth-4827_iter-3" tableColumnId="94"/>
      <queryTableField id="95" name="depth-4827_iter-4" tableColumnId="95"/>
      <queryTableField id="96" name="depth-4827_iter-5" tableColumnId="96"/>
      <queryTableField id="97" name="depth-4827_iter-6" tableColumnId="97"/>
      <queryTableField id="98" name="depth-4827_iter-7" tableColumnId="98"/>
      <queryTableField id="99" name="depth-4827_iter-8" tableColumnId="99"/>
      <queryTableField id="100" name="depth-4827_iter-9" tableColumnId="100"/>
      <queryTableField id="101" name="depth-4827_iter-10" tableColumnId="101"/>
      <queryTableField id="102" name="barcode" tableColumnId="102"/>
      <queryTableField id="103" name="mouse_id" tableColumnId="103"/>
      <queryTableField id="104" name="genotype" tableColumnId="104"/>
      <queryTableField id="105" name="cage_id" tableColumnId="105"/>
      <queryTableField id="106" name="donor" tableColumnId="106"/>
      <queryTableField id="107" name="donor_status" tableColumnId="107"/>
      <queryTableField id="108" name="genotype_and_donor_status" tableColumnId="10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997012-35C0-4FFE-84C4-4795D31B3AD4}" name="rarefaction_analysis_ad_shannon" displayName="rarefaction_analysis_ad_shannon" ref="A1:DD49" tableType="queryTable" totalsRowShown="0">
  <autoFilter ref="A1:DD49" xr:uid="{74997012-35C0-4FFE-84C4-4795D31B3AD4}"/>
  <sortState xmlns:xlrd2="http://schemas.microsoft.com/office/spreadsheetml/2017/richdata2" ref="A2:DD49">
    <sortCondition descending="1" ref="DB1:DB49"/>
  </sortState>
  <tableColumns count="108">
    <tableColumn id="1" xr3:uid="{0938F92B-88A0-43C9-8658-4C615B5A184D}" uniqueName="1" name="sample-id" queryTableFieldId="1" dataDxfId="6"/>
    <tableColumn id="2" xr3:uid="{69976B60-3943-4145-A411-8A7D2048C0DF}" uniqueName="2" name="depth-1_iter-1" queryTableFieldId="2"/>
    <tableColumn id="3" xr3:uid="{AE1F293B-7ADE-480A-9C01-86249FA5A1F3}" uniqueName="3" name="depth-1_iter-2" queryTableFieldId="3"/>
    <tableColumn id="4" xr3:uid="{6EF1E818-53B5-48AE-89C5-2870C1800AF5}" uniqueName="4" name="depth-1_iter-3" queryTableFieldId="4"/>
    <tableColumn id="5" xr3:uid="{B842DB92-4CDF-46BA-AFDE-4D4871B1A41F}" uniqueName="5" name="depth-1_iter-4" queryTableFieldId="5"/>
    <tableColumn id="6" xr3:uid="{BECD1274-7202-4C0B-B29B-AFADACEC5C1A}" uniqueName="6" name="depth-1_iter-5" queryTableFieldId="6"/>
    <tableColumn id="7" xr3:uid="{18B73809-A0F2-44E6-8492-936606BEA538}" uniqueName="7" name="depth-1_iter-6" queryTableFieldId="7"/>
    <tableColumn id="8" xr3:uid="{3150AEB2-EAE5-475D-8DDB-E3794A528E37}" uniqueName="8" name="depth-1_iter-7" queryTableFieldId="8"/>
    <tableColumn id="9" xr3:uid="{93596E09-3B65-45AC-8D17-18A0C6B4C302}" uniqueName="9" name="depth-1_iter-8" queryTableFieldId="9"/>
    <tableColumn id="10" xr3:uid="{97A2044A-EB79-457A-92C5-96D38A560C5C}" uniqueName="10" name="depth-1_iter-9" queryTableFieldId="10"/>
    <tableColumn id="11" xr3:uid="{27204CD8-FC3A-44AC-BC94-38D5221E9AC6}" uniqueName="11" name="depth-1_iter-10" queryTableFieldId="11"/>
    <tableColumn id="12" xr3:uid="{9036C4AC-CFD8-4707-8973-58CE4C911CD7}" uniqueName="12" name="depth-537_iter-1" queryTableFieldId="12"/>
    <tableColumn id="13" xr3:uid="{9E263A27-9FD9-4B9B-A20C-BCAF063AB4DB}" uniqueName="13" name="depth-537_iter-2" queryTableFieldId="13"/>
    <tableColumn id="14" xr3:uid="{56B2FC6F-DBCE-48FC-9BCA-7E9095064DA7}" uniqueName="14" name="depth-537_iter-3" queryTableFieldId="14"/>
    <tableColumn id="15" xr3:uid="{F38EA739-CCE0-4DDD-87B7-543D580EED75}" uniqueName="15" name="depth-537_iter-4" queryTableFieldId="15"/>
    <tableColumn id="16" xr3:uid="{0DFFC184-EDED-4889-B599-3D690CDB8105}" uniqueName="16" name="depth-537_iter-5" queryTableFieldId="16"/>
    <tableColumn id="17" xr3:uid="{ADDC2DB4-403C-459D-ABB4-75D1D3EE5494}" uniqueName="17" name="depth-537_iter-6" queryTableFieldId="17"/>
    <tableColumn id="18" xr3:uid="{152938F6-D5CA-4F06-8574-CB8D54176317}" uniqueName="18" name="depth-537_iter-7" queryTableFieldId="18"/>
    <tableColumn id="19" xr3:uid="{08E5DC5F-06B9-437C-9044-EB04C008926F}" uniqueName="19" name="depth-537_iter-8" queryTableFieldId="19"/>
    <tableColumn id="20" xr3:uid="{B13A32BF-D194-40B6-9C36-C4C12D44E317}" uniqueName="20" name="depth-537_iter-9" queryTableFieldId="20"/>
    <tableColumn id="21" xr3:uid="{96088376-86F6-475C-A9FC-488166E44DE2}" uniqueName="21" name="depth-537_iter-10" queryTableFieldId="21"/>
    <tableColumn id="22" xr3:uid="{57C78B33-9BD9-4CBD-ABDC-587C97B7F759}" uniqueName="22" name="depth-1073_iter-1" queryTableFieldId="22"/>
    <tableColumn id="23" xr3:uid="{4D9514DF-31E8-47EE-9BEA-114C3309C89C}" uniqueName="23" name="depth-1073_iter-2" queryTableFieldId="23"/>
    <tableColumn id="24" xr3:uid="{9D4794F0-D1B8-4F69-B6C3-CF6D5F77E30C}" uniqueName="24" name="depth-1073_iter-3" queryTableFieldId="24"/>
    <tableColumn id="25" xr3:uid="{314D704C-CCD1-4497-80FC-0BCDE9B45FEF}" uniqueName="25" name="depth-1073_iter-4" queryTableFieldId="25"/>
    <tableColumn id="26" xr3:uid="{366813C0-8D2B-4F77-89B0-1453999E07CD}" uniqueName="26" name="depth-1073_iter-5" queryTableFieldId="26"/>
    <tableColumn id="27" xr3:uid="{821EFBA4-2C0C-4EA7-B186-878557C6B574}" uniqueName="27" name="depth-1073_iter-6" queryTableFieldId="27"/>
    <tableColumn id="28" xr3:uid="{D43766B7-DD8F-4EF7-B691-A3BE6A19B5BA}" uniqueName="28" name="depth-1073_iter-7" queryTableFieldId="28"/>
    <tableColumn id="29" xr3:uid="{8160155B-BBC6-4501-8BD6-87F0F576CE4D}" uniqueName="29" name="depth-1073_iter-8" queryTableFieldId="29"/>
    <tableColumn id="30" xr3:uid="{0A59C1AC-F692-41E0-ABEF-99C18BDD4098}" uniqueName="30" name="depth-1073_iter-9" queryTableFieldId="30"/>
    <tableColumn id="31" xr3:uid="{C71FC024-21AE-4397-BAEC-166E83F42A18}" uniqueName="31" name="depth-1073_iter-10" queryTableFieldId="31"/>
    <tableColumn id="32" xr3:uid="{69EE1623-F9C0-4F8F-84A1-507DBF4374B2}" uniqueName="32" name="depth-1609_iter-1" queryTableFieldId="32"/>
    <tableColumn id="33" xr3:uid="{F2CDDCCC-D235-482C-8768-3E8BEBCEB5A3}" uniqueName="33" name="depth-1609_iter-2" queryTableFieldId="33"/>
    <tableColumn id="34" xr3:uid="{4A6E80AA-5BC0-4BC6-9E18-4BBD6FE948AE}" uniqueName="34" name="depth-1609_iter-3" queryTableFieldId="34"/>
    <tableColumn id="35" xr3:uid="{75AF43E6-A0C0-49E3-AA0E-BDF353526D5C}" uniqueName="35" name="depth-1609_iter-4" queryTableFieldId="35"/>
    <tableColumn id="36" xr3:uid="{B2ED0797-9FD1-4E00-B1E5-04F77A378F16}" uniqueName="36" name="depth-1609_iter-5" queryTableFieldId="36"/>
    <tableColumn id="37" xr3:uid="{30E75425-9A6F-4999-9B56-6D5CD5931A43}" uniqueName="37" name="depth-1609_iter-6" queryTableFieldId="37"/>
    <tableColumn id="38" xr3:uid="{F489D1E7-0159-4276-99B7-5FCD62A5D4C7}" uniqueName="38" name="depth-1609_iter-7" queryTableFieldId="38"/>
    <tableColumn id="39" xr3:uid="{BF3C031A-23ED-4689-AB29-03AAEEC1F3EE}" uniqueName="39" name="depth-1609_iter-8" queryTableFieldId="39"/>
    <tableColumn id="40" xr3:uid="{8F2257AE-BF72-4A36-9467-89858C3111BB}" uniqueName="40" name="depth-1609_iter-9" queryTableFieldId="40"/>
    <tableColumn id="41" xr3:uid="{D74EDA99-7BB3-45FA-A07A-4F8016A7D3AA}" uniqueName="41" name="depth-1609_iter-10" queryTableFieldId="41"/>
    <tableColumn id="42" xr3:uid="{6CCD19E6-3991-4EA0-8E5B-F00A71D26FA8}" uniqueName="42" name="depth-2145_iter-1" queryTableFieldId="42"/>
    <tableColumn id="43" xr3:uid="{D1A3E6C1-673B-4492-ACD7-B333AB075B15}" uniqueName="43" name="depth-2145_iter-2" queryTableFieldId="43"/>
    <tableColumn id="44" xr3:uid="{2E3D4741-A6F1-4542-9DDC-7E95D4953DD7}" uniqueName="44" name="depth-2145_iter-3" queryTableFieldId="44"/>
    <tableColumn id="45" xr3:uid="{61182627-21E1-4C99-A15E-CE3097BD1F0D}" uniqueName="45" name="depth-2145_iter-4" queryTableFieldId="45"/>
    <tableColumn id="46" xr3:uid="{9AF2C263-1B57-4100-96E0-4B6C01B7655E}" uniqueName="46" name="depth-2145_iter-5" queryTableFieldId="46"/>
    <tableColumn id="47" xr3:uid="{900DF10D-B015-4EC2-9072-83EE690112ED}" uniqueName="47" name="depth-2145_iter-6" queryTableFieldId="47"/>
    <tableColumn id="48" xr3:uid="{BDAD7273-B128-4737-89AD-9BE1BA936AEF}" uniqueName="48" name="depth-2145_iter-7" queryTableFieldId="48"/>
    <tableColumn id="49" xr3:uid="{E679A8E9-6BA2-45E2-9FE3-FCE3EE3A9919}" uniqueName="49" name="depth-2145_iter-8" queryTableFieldId="49"/>
    <tableColumn id="50" xr3:uid="{B6B5D288-FBCF-4DE4-AC23-80AB9CDEBD23}" uniqueName="50" name="depth-2145_iter-9" queryTableFieldId="50"/>
    <tableColumn id="51" xr3:uid="{DF2A500A-7A5A-4326-B84C-96BBA8A59935}" uniqueName="51" name="depth-2145_iter-10" queryTableFieldId="51"/>
    <tableColumn id="52" xr3:uid="{32262B54-6813-406A-ADDB-038F65FE0457}" uniqueName="52" name="depth-2682_iter-1" queryTableFieldId="52"/>
    <tableColumn id="53" xr3:uid="{E6AFF510-1021-4AB7-B107-F2D605E46ACE}" uniqueName="53" name="depth-2682_iter-2" queryTableFieldId="53"/>
    <tableColumn id="54" xr3:uid="{C1F59983-55A6-4FED-AEFD-9EBC8CA129CF}" uniqueName="54" name="depth-2682_iter-3" queryTableFieldId="54"/>
    <tableColumn id="55" xr3:uid="{34361812-35ED-4F66-BCD3-0202FD0F82E3}" uniqueName="55" name="depth-2682_iter-4" queryTableFieldId="55"/>
    <tableColumn id="56" xr3:uid="{E2BC5BC0-6EB2-4277-8FE7-5C516CC2B1B1}" uniqueName="56" name="depth-2682_iter-5" queryTableFieldId="56"/>
    <tableColumn id="57" xr3:uid="{B16FDD1D-862C-408C-8B3B-F15048A99931}" uniqueName="57" name="depth-2682_iter-6" queryTableFieldId="57"/>
    <tableColumn id="58" xr3:uid="{7493E569-FF1B-472E-8AF0-8704A7346202}" uniqueName="58" name="depth-2682_iter-7" queryTableFieldId="58"/>
    <tableColumn id="59" xr3:uid="{CC343938-FB86-49FA-9996-4981A4038BF4}" uniqueName="59" name="depth-2682_iter-8" queryTableFieldId="59"/>
    <tableColumn id="60" xr3:uid="{0B8DB626-2885-4CFE-98D4-96FD5D9FF958}" uniqueName="60" name="depth-2682_iter-9" queryTableFieldId="60"/>
    <tableColumn id="61" xr3:uid="{9817F36B-081D-4B3E-92E2-D11030821BFB}" uniqueName="61" name="depth-2682_iter-10" queryTableFieldId="61"/>
    <tableColumn id="62" xr3:uid="{19431CAB-38AD-4C50-9DCC-F3C63D5A83E0}" uniqueName="62" name="depth-3218_iter-1" queryTableFieldId="62"/>
    <tableColumn id="63" xr3:uid="{CCA8699E-B126-4939-BC1D-720328CEEA69}" uniqueName="63" name="depth-3218_iter-2" queryTableFieldId="63"/>
    <tableColumn id="64" xr3:uid="{AC171999-D822-4D84-9A99-816A29CB3C9B}" uniqueName="64" name="depth-3218_iter-3" queryTableFieldId="64"/>
    <tableColumn id="65" xr3:uid="{DB3E19AD-CD29-41ED-9A17-21B6FC19D2D7}" uniqueName="65" name="depth-3218_iter-4" queryTableFieldId="65"/>
    <tableColumn id="66" xr3:uid="{9ED63B08-5A5D-4709-90A5-82CE0F3BF245}" uniqueName="66" name="depth-3218_iter-5" queryTableFieldId="66"/>
    <tableColumn id="67" xr3:uid="{E42C04FE-4D90-4675-BE78-B01BDF3E0B6B}" uniqueName="67" name="depth-3218_iter-6" queryTableFieldId="67"/>
    <tableColumn id="68" xr3:uid="{9A480D57-C770-4F49-92AA-BE8167D493B2}" uniqueName="68" name="depth-3218_iter-7" queryTableFieldId="68"/>
    <tableColumn id="69" xr3:uid="{8D731FA7-46EC-4E0F-A41E-18478FE11EF3}" uniqueName="69" name="depth-3218_iter-8" queryTableFieldId="69"/>
    <tableColumn id="70" xr3:uid="{6C3176A2-74A5-48AB-956D-C7653B070A44}" uniqueName="70" name="depth-3218_iter-9" queryTableFieldId="70"/>
    <tableColumn id="71" xr3:uid="{DEC6355C-93DF-458B-8F8C-AB5A977BC7B5}" uniqueName="71" name="depth-3218_iter-10" queryTableFieldId="71"/>
    <tableColumn id="72" xr3:uid="{67C202E9-F8EE-44CA-A140-F22F6D730CCB}" uniqueName="72" name="depth-3754_iter-1" queryTableFieldId="72"/>
    <tableColumn id="73" xr3:uid="{B79A4249-B34B-4352-8310-6C4773BECF3D}" uniqueName="73" name="depth-3754_iter-2" queryTableFieldId="73"/>
    <tableColumn id="74" xr3:uid="{2F003DEC-3B93-4BF6-B8C1-25BCB705547E}" uniqueName="74" name="depth-3754_iter-3" queryTableFieldId="74"/>
    <tableColumn id="75" xr3:uid="{B942ED97-62DD-4A8C-9D59-4F20A8A962A8}" uniqueName="75" name="depth-3754_iter-4" queryTableFieldId="75"/>
    <tableColumn id="76" xr3:uid="{0B78E510-EF99-4697-9F92-A61F1ABBC1A5}" uniqueName="76" name="depth-3754_iter-5" queryTableFieldId="76"/>
    <tableColumn id="77" xr3:uid="{6995B9EC-63C0-44E5-A2FA-D9659AA200A5}" uniqueName="77" name="depth-3754_iter-6" queryTableFieldId="77"/>
    <tableColumn id="78" xr3:uid="{C8860D4D-0A1B-4337-B1C4-B2312D59B008}" uniqueName="78" name="depth-3754_iter-7" queryTableFieldId="78"/>
    <tableColumn id="79" xr3:uid="{CBD7CC7C-F18C-4D05-8C2A-62CAB73C4A0E}" uniqueName="79" name="depth-3754_iter-8" queryTableFieldId="79"/>
    <tableColumn id="80" xr3:uid="{C8D1E53F-0C1D-4DBF-A365-21C329DC539B}" uniqueName="80" name="depth-3754_iter-9" queryTableFieldId="80"/>
    <tableColumn id="81" xr3:uid="{EFF94BC0-598F-40D0-BD12-68FCE1DAF4F1}" uniqueName="81" name="depth-3754_iter-10" queryTableFieldId="81"/>
    <tableColumn id="82" xr3:uid="{A4DAE413-D8ED-43AD-ABD3-D9FBF3725481}" uniqueName="82" name="depth-4290_iter-1" queryTableFieldId="82"/>
    <tableColumn id="83" xr3:uid="{ECB0D782-260D-4B17-84C5-5B55B2699D05}" uniqueName="83" name="depth-4290_iter-2" queryTableFieldId="83"/>
    <tableColumn id="84" xr3:uid="{78BE3150-035D-4F47-9850-86C3DE546D8E}" uniqueName="84" name="depth-4290_iter-3" queryTableFieldId="84"/>
    <tableColumn id="85" xr3:uid="{84E2462B-805A-43EF-A0C1-630250039824}" uniqueName="85" name="depth-4290_iter-4" queryTableFieldId="85"/>
    <tableColumn id="86" xr3:uid="{B1BF8B95-DB89-4803-8FE5-A943DBBC32AA}" uniqueName="86" name="depth-4290_iter-5" queryTableFieldId="86"/>
    <tableColumn id="87" xr3:uid="{EA12617D-36A6-4086-A273-76993869EA9C}" uniqueName="87" name="depth-4290_iter-6" queryTableFieldId="87"/>
    <tableColumn id="88" xr3:uid="{2F4AAF3A-1FCE-4E37-AC27-6D8CF166A591}" uniqueName="88" name="depth-4290_iter-7" queryTableFieldId="88"/>
    <tableColumn id="89" xr3:uid="{9FB78E58-AC26-476E-BEF7-E2EC82A4AC6C}" uniqueName="89" name="depth-4290_iter-8" queryTableFieldId="89"/>
    <tableColumn id="90" xr3:uid="{F0E0B5BD-E402-4563-8DB0-A185E5FCF2D1}" uniqueName="90" name="depth-4290_iter-9" queryTableFieldId="90"/>
    <tableColumn id="91" xr3:uid="{0DCEA309-E098-41BC-8137-B0F3A2E9B337}" uniqueName="91" name="depth-4290_iter-10" queryTableFieldId="91"/>
    <tableColumn id="92" xr3:uid="{21476FBC-84B3-4004-BB3A-F3E6E6D877EA}" uniqueName="92" name="depth-4827_iter-1" queryTableFieldId="92"/>
    <tableColumn id="93" xr3:uid="{22A9895B-5DD4-4149-9A57-046FE170748A}" uniqueName="93" name="depth-4827_iter-2" queryTableFieldId="93"/>
    <tableColumn id="94" xr3:uid="{EF72EFAF-FEEB-46FE-A0B7-91BDB7FD4977}" uniqueName="94" name="depth-4827_iter-3" queryTableFieldId="94"/>
    <tableColumn id="95" xr3:uid="{18200C69-1F97-44DD-AE52-96F3CAE9DA70}" uniqueName="95" name="depth-4827_iter-4" queryTableFieldId="95"/>
    <tableColumn id="96" xr3:uid="{257848CF-A688-4AFF-882F-67AB3E401B8B}" uniqueName="96" name="depth-4827_iter-5" queryTableFieldId="96"/>
    <tableColumn id="97" xr3:uid="{C162431E-36A3-4BCB-A287-C919DF5F8D24}" uniqueName="97" name="depth-4827_iter-6" queryTableFieldId="97"/>
    <tableColumn id="98" xr3:uid="{08BCB867-60D3-4084-8956-0A2BD3500A98}" uniqueName="98" name="depth-4827_iter-7" queryTableFieldId="98"/>
    <tableColumn id="99" xr3:uid="{E7383398-7F74-430F-8D76-C2C8F6D1C81F}" uniqueName="99" name="depth-4827_iter-8" queryTableFieldId="99"/>
    <tableColumn id="100" xr3:uid="{5576E112-15A1-4C8B-89E0-DA5BA81EAE72}" uniqueName="100" name="depth-4827_iter-9" queryTableFieldId="100"/>
    <tableColumn id="101" xr3:uid="{0CE7B5E1-4B62-4AF9-99EC-3C9691665484}" uniqueName="101" name="depth-4827_iter-10" queryTableFieldId="101"/>
    <tableColumn id="102" xr3:uid="{3BB942ED-C5E5-4468-8399-E244CD142447}" uniqueName="102" name="barcode" queryTableFieldId="102" dataDxfId="5"/>
    <tableColumn id="103" xr3:uid="{9F80C307-7763-4702-8952-F969F9AAD667}" uniqueName="103" name="mouse_id" queryTableFieldId="103"/>
    <tableColumn id="104" xr3:uid="{BC020C92-8987-486C-9D89-19833747663E}" uniqueName="104" name="genotype" queryTableFieldId="104" dataDxfId="4"/>
    <tableColumn id="105" xr3:uid="{085E9FD3-4EDE-4826-9592-0B0D2360DA88}" uniqueName="105" name="cage_id" queryTableFieldId="105" dataDxfId="3"/>
    <tableColumn id="106" xr3:uid="{64EBA312-5978-45F5-807B-C12786DAF3CA}" uniqueName="106" name="donor" queryTableFieldId="106" dataDxfId="2"/>
    <tableColumn id="107" xr3:uid="{544841F8-4E41-429F-BA3A-0FCA64EAA9FE}" uniqueName="107" name="donor_status" queryTableFieldId="107" dataDxfId="1"/>
    <tableColumn id="108" xr3:uid="{19E34A24-7007-4D3D-BCE3-81ADC7CF8E53}" uniqueName="108" name="genotype_and_donor_status" queryTableFieldId="10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E05BB-9ECA-4D7B-904F-10D773EDE0C3}">
  <dimension ref="A1:DD64"/>
  <sheetViews>
    <sheetView tabSelected="1" topLeftCell="A51" zoomScale="132" workbookViewId="0">
      <selection activeCell="H61" sqref="H61"/>
    </sheetView>
  </sheetViews>
  <sheetFormatPr defaultRowHeight="14.5" x14ac:dyDescent="0.35"/>
  <cols>
    <col min="1" max="1" width="21.26953125" bestFit="1" customWidth="1"/>
    <col min="2" max="10" width="14.90625" bestFit="1" customWidth="1"/>
    <col min="11" max="11" width="16" bestFit="1" customWidth="1"/>
    <col min="12" max="20" width="17" bestFit="1" customWidth="1"/>
    <col min="21" max="30" width="18" bestFit="1" customWidth="1"/>
    <col min="31" max="31" width="19" bestFit="1" customWidth="1"/>
    <col min="32" max="40" width="18" bestFit="1" customWidth="1"/>
    <col min="41" max="41" width="19" bestFit="1" customWidth="1"/>
    <col min="42" max="50" width="18" bestFit="1" customWidth="1"/>
    <col min="51" max="51" width="19" bestFit="1" customWidth="1"/>
    <col min="52" max="60" width="18" bestFit="1" customWidth="1"/>
    <col min="61" max="61" width="19" bestFit="1" customWidth="1"/>
    <col min="62" max="70" width="18" bestFit="1" customWidth="1"/>
    <col min="71" max="71" width="19" bestFit="1" customWidth="1"/>
    <col min="72" max="80" width="18" bestFit="1" customWidth="1"/>
    <col min="81" max="81" width="19" bestFit="1" customWidth="1"/>
    <col min="82" max="90" width="18" bestFit="1" customWidth="1"/>
    <col min="91" max="91" width="19" bestFit="1" customWidth="1"/>
    <col min="92" max="100" width="18" bestFit="1" customWidth="1"/>
    <col min="101" max="101" width="19" bestFit="1" customWidth="1"/>
    <col min="102" max="102" width="15.6328125" bestFit="1" customWidth="1"/>
    <col min="103" max="103" width="11.1796875" bestFit="1" customWidth="1"/>
    <col min="104" max="104" width="10.7265625" bestFit="1" customWidth="1"/>
    <col min="105" max="105" width="9.453125" bestFit="1" customWidth="1"/>
    <col min="106" max="106" width="7.90625" bestFit="1" customWidth="1"/>
    <col min="107" max="107" width="13.90625" bestFit="1" customWidth="1"/>
    <col min="108" max="108" width="26.6328125" bestFit="1" customWidth="1"/>
  </cols>
  <sheetData>
    <row r="1" spans="1:10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</row>
    <row r="2" spans="1:108" x14ac:dyDescent="0.35">
      <c r="A2" t="s">
        <v>157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3.6685586590682799</v>
      </c>
      <c r="M2">
        <v>3.5142335332393961</v>
      </c>
      <c r="N2">
        <v>3.5793980296595844</v>
      </c>
      <c r="O2">
        <v>3.6913040201955862</v>
      </c>
      <c r="P2">
        <v>3.7548674375277802</v>
      </c>
      <c r="Q2">
        <v>3.5900860055985171</v>
      </c>
      <c r="R2">
        <v>3.6016502504320682</v>
      </c>
      <c r="S2">
        <v>3.6504686317033661</v>
      </c>
      <c r="T2">
        <v>3.7144341560684975</v>
      </c>
      <c r="U2">
        <v>3.700186579543455</v>
      </c>
      <c r="V2">
        <v>3.7463522429305418</v>
      </c>
      <c r="W2">
        <v>3.7433197605906279</v>
      </c>
      <c r="X2">
        <v>3.717504932140725</v>
      </c>
      <c r="Y2">
        <v>3.6832535064375258</v>
      </c>
      <c r="Z2">
        <v>3.7226316416947531</v>
      </c>
      <c r="AA2">
        <v>3.6896046728154728</v>
      </c>
      <c r="AB2">
        <v>3.5805482412612011</v>
      </c>
      <c r="AC2">
        <v>3.6791573093395433</v>
      </c>
      <c r="AD2">
        <v>3.7678387187892359</v>
      </c>
      <c r="AE2">
        <v>3.6141973643850598</v>
      </c>
      <c r="AF2">
        <v>3.676912103229049</v>
      </c>
      <c r="AG2">
        <v>3.6538889594619639</v>
      </c>
      <c r="AH2">
        <v>3.634804230485392</v>
      </c>
      <c r="AI2">
        <v>3.6823163054372068</v>
      </c>
      <c r="AJ2">
        <v>3.6516879512537823</v>
      </c>
      <c r="AK2">
        <v>3.6985667924211114</v>
      </c>
      <c r="AL2">
        <v>3.7146535144126691</v>
      </c>
      <c r="AM2">
        <v>3.7089030061601975</v>
      </c>
      <c r="AN2">
        <v>3.7231997016002252</v>
      </c>
      <c r="AO2">
        <v>3.6559692836411091</v>
      </c>
      <c r="AP2">
        <v>3.6956999846781038</v>
      </c>
      <c r="AQ2">
        <v>3.7241024610536981</v>
      </c>
      <c r="AR2">
        <v>3.6709991227913479</v>
      </c>
      <c r="AS2">
        <v>3.6520587064372823</v>
      </c>
      <c r="AT2">
        <v>3.7032221117394233</v>
      </c>
      <c r="AU2">
        <v>3.683844572614372</v>
      </c>
      <c r="AV2">
        <v>3.646460555261795</v>
      </c>
      <c r="AW2">
        <v>3.6776209571285299</v>
      </c>
      <c r="AX2">
        <v>3.6882373436693823</v>
      </c>
      <c r="AY2">
        <v>3.6796210509944736</v>
      </c>
      <c r="AZ2">
        <v>3.6909589832982497</v>
      </c>
      <c r="BA2">
        <v>3.6883347498460588</v>
      </c>
      <c r="BB2">
        <v>3.7166364700193895</v>
      </c>
      <c r="BC2">
        <v>3.6721048617712726</v>
      </c>
      <c r="BD2">
        <v>3.6822598747081221</v>
      </c>
      <c r="BE2">
        <v>3.7142025207378304</v>
      </c>
      <c r="BF2">
        <v>3.6856245239647607</v>
      </c>
      <c r="BG2">
        <v>3.6995543531251984</v>
      </c>
      <c r="BH2">
        <v>3.714161759543753</v>
      </c>
      <c r="BI2">
        <v>3.6743842551542989</v>
      </c>
      <c r="BJ2">
        <v>3.694869886889256</v>
      </c>
      <c r="BK2">
        <v>3.6922214946367902</v>
      </c>
      <c r="BL2">
        <v>3.6933690557537431</v>
      </c>
      <c r="BM2">
        <v>3.7056899628570812</v>
      </c>
      <c r="BN2">
        <v>3.6973968449817152</v>
      </c>
      <c r="BO2">
        <v>3.695399768555832</v>
      </c>
      <c r="BP2">
        <v>3.6942093504423039</v>
      </c>
      <c r="BQ2">
        <v>3.7026766850230008</v>
      </c>
      <c r="BR2">
        <v>3.7018243343513948</v>
      </c>
      <c r="BS2">
        <v>3.689193649901283</v>
      </c>
      <c r="CX2" t="s">
        <v>158</v>
      </c>
      <c r="CY2">
        <v>536</v>
      </c>
      <c r="CZ2" t="s">
        <v>117</v>
      </c>
      <c r="DA2" t="s">
        <v>159</v>
      </c>
      <c r="DB2" t="s">
        <v>160</v>
      </c>
      <c r="DC2" t="s">
        <v>161</v>
      </c>
      <c r="DD2" t="s">
        <v>162</v>
      </c>
    </row>
    <row r="3" spans="1:108" x14ac:dyDescent="0.35">
      <c r="A3" t="s">
        <v>165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3.6708685916242358</v>
      </c>
      <c r="M3">
        <v>3.5639327748975016</v>
      </c>
      <c r="N3">
        <v>3.6190142722544727</v>
      </c>
      <c r="O3">
        <v>3.6725511967966722</v>
      </c>
      <c r="P3">
        <v>3.5561860021880216</v>
      </c>
      <c r="Q3">
        <v>3.7161735010491608</v>
      </c>
      <c r="R3">
        <v>3.5246000962966564</v>
      </c>
      <c r="S3">
        <v>3.6725948027294497</v>
      </c>
      <c r="T3">
        <v>3.6827828283646951</v>
      </c>
      <c r="U3">
        <v>3.5892441786027693</v>
      </c>
      <c r="V3">
        <v>3.6170849379572019</v>
      </c>
      <c r="W3">
        <v>3.6953728120623888</v>
      </c>
      <c r="X3">
        <v>3.7513431056583761</v>
      </c>
      <c r="Y3">
        <v>3.6989189968757201</v>
      </c>
      <c r="Z3">
        <v>3.6696695373151411</v>
      </c>
      <c r="AA3">
        <v>3.6873119570792383</v>
      </c>
      <c r="AB3">
        <v>3.6784062058784568</v>
      </c>
      <c r="AC3">
        <v>3.6926529281871971</v>
      </c>
      <c r="AD3">
        <v>3.7299211265296819</v>
      </c>
      <c r="AE3">
        <v>3.7221940582296966</v>
      </c>
      <c r="AF3">
        <v>3.7041120438830748</v>
      </c>
      <c r="AG3">
        <v>3.6603029473031521</v>
      </c>
      <c r="AH3">
        <v>3.7064997879277648</v>
      </c>
      <c r="AI3">
        <v>3.6713445594344831</v>
      </c>
      <c r="AJ3">
        <v>3.6341187543362761</v>
      </c>
      <c r="AK3">
        <v>3.6734317954885731</v>
      </c>
      <c r="AL3">
        <v>3.676527637093908</v>
      </c>
      <c r="AM3">
        <v>3.738322014209273</v>
      </c>
      <c r="AN3">
        <v>3.7090888464638678</v>
      </c>
      <c r="AO3">
        <v>3.7069850480360071</v>
      </c>
      <c r="AP3">
        <v>3.6863690176021562</v>
      </c>
      <c r="AQ3">
        <v>3.6917917435899641</v>
      </c>
      <c r="AR3">
        <v>3.7029885614812099</v>
      </c>
      <c r="AS3">
        <v>3.6657547412787466</v>
      </c>
      <c r="AT3">
        <v>3.6912387605779551</v>
      </c>
      <c r="AU3">
        <v>3.7073710409128529</v>
      </c>
      <c r="AV3">
        <v>3.6610529162655929</v>
      </c>
      <c r="AW3">
        <v>3.7194738920141108</v>
      </c>
      <c r="AX3">
        <v>3.7075909897301802</v>
      </c>
      <c r="AY3">
        <v>3.7011548298400494</v>
      </c>
      <c r="AZ3">
        <v>3.6658109696866759</v>
      </c>
      <c r="BA3">
        <v>3.68506216662652</v>
      </c>
      <c r="BB3">
        <v>3.6833808953799889</v>
      </c>
      <c r="BC3">
        <v>3.7055691928685279</v>
      </c>
      <c r="BD3">
        <v>3.677830647308566</v>
      </c>
      <c r="BE3">
        <v>3.7061345997809543</v>
      </c>
      <c r="BF3">
        <v>3.7018905913965079</v>
      </c>
      <c r="BG3">
        <v>3.6891593813187118</v>
      </c>
      <c r="BH3">
        <v>3.7025198124327128</v>
      </c>
      <c r="BI3">
        <v>3.6616191918348826</v>
      </c>
      <c r="BJ3">
        <v>3.6958277767664702</v>
      </c>
      <c r="BK3">
        <v>3.6891648897958502</v>
      </c>
      <c r="BL3">
        <v>3.687394405112955</v>
      </c>
      <c r="BM3">
        <v>3.6877862524053615</v>
      </c>
      <c r="BN3">
        <v>3.6957499044354489</v>
      </c>
      <c r="BO3">
        <v>3.6993853064019522</v>
      </c>
      <c r="BP3">
        <v>3.6921841719925599</v>
      </c>
      <c r="BQ3">
        <v>3.6978124997200368</v>
      </c>
      <c r="BR3">
        <v>3.6930689142139999</v>
      </c>
      <c r="BS3">
        <v>3.7083055056435095</v>
      </c>
      <c r="CX3" t="s">
        <v>166</v>
      </c>
      <c r="CY3">
        <v>536</v>
      </c>
      <c r="CZ3" t="s">
        <v>117</v>
      </c>
      <c r="DA3" t="s">
        <v>159</v>
      </c>
      <c r="DB3" t="s">
        <v>160</v>
      </c>
      <c r="DC3" t="s">
        <v>161</v>
      </c>
      <c r="DD3" t="s">
        <v>162</v>
      </c>
    </row>
    <row r="4" spans="1:108" x14ac:dyDescent="0.35">
      <c r="A4" t="s">
        <v>167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CX4" t="s">
        <v>168</v>
      </c>
      <c r="CY4">
        <v>537</v>
      </c>
      <c r="CZ4" t="s">
        <v>110</v>
      </c>
      <c r="DA4" t="s">
        <v>159</v>
      </c>
      <c r="DB4" t="s">
        <v>160</v>
      </c>
      <c r="DC4" t="s">
        <v>161</v>
      </c>
      <c r="DD4" t="s">
        <v>169</v>
      </c>
    </row>
    <row r="5" spans="1:108" x14ac:dyDescent="0.35">
      <c r="A5" t="s">
        <v>172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3.6559940181635215</v>
      </c>
      <c r="M5">
        <v>3.6495537269662535</v>
      </c>
      <c r="N5">
        <v>3.5412361670480994</v>
      </c>
      <c r="O5">
        <v>3.517885123385617</v>
      </c>
      <c r="P5">
        <v>3.5908755242618038</v>
      </c>
      <c r="Q5">
        <v>3.6976645782478776</v>
      </c>
      <c r="R5">
        <v>3.55922848689073</v>
      </c>
      <c r="S5">
        <v>3.6217820851481024</v>
      </c>
      <c r="T5">
        <v>3.5651910878372681</v>
      </c>
      <c r="U5">
        <v>3.6507475114410775</v>
      </c>
      <c r="V5">
        <v>3.5878182433653247</v>
      </c>
      <c r="W5">
        <v>3.6270287341457141</v>
      </c>
      <c r="X5">
        <v>3.6038834711422769</v>
      </c>
      <c r="Y5">
        <v>3.5533511867610463</v>
      </c>
      <c r="Z5">
        <v>3.686063347700316</v>
      </c>
      <c r="AA5">
        <v>3.666025866813817</v>
      </c>
      <c r="AB5">
        <v>3.6416858571059394</v>
      </c>
      <c r="AC5">
        <v>3.706340979171832</v>
      </c>
      <c r="AD5">
        <v>3.5828780494373138</v>
      </c>
      <c r="AE5">
        <v>3.6209576669250993</v>
      </c>
      <c r="AF5">
        <v>3.646338087874994</v>
      </c>
      <c r="AG5">
        <v>3.6466396260239593</v>
      </c>
      <c r="AH5">
        <v>3.6440512805701011</v>
      </c>
      <c r="AI5">
        <v>3.6328042175459294</v>
      </c>
      <c r="AJ5">
        <v>3.6287463765844463</v>
      </c>
      <c r="AK5">
        <v>3.638716824517664</v>
      </c>
      <c r="AL5">
        <v>3.6303112644201487</v>
      </c>
      <c r="AM5">
        <v>3.6475580949414015</v>
      </c>
      <c r="AN5">
        <v>3.6840282622858456</v>
      </c>
      <c r="AO5">
        <v>3.6400211554049382</v>
      </c>
      <c r="AP5">
        <v>3.6166196413682128</v>
      </c>
      <c r="AQ5">
        <v>3.6698194892502038</v>
      </c>
      <c r="AR5">
        <v>3.6272312366951249</v>
      </c>
      <c r="AS5">
        <v>3.650770963398605</v>
      </c>
      <c r="AT5">
        <v>3.6397578809292792</v>
      </c>
      <c r="AU5">
        <v>3.6433412973827024</v>
      </c>
      <c r="AV5">
        <v>3.6544636679442815</v>
      </c>
      <c r="AW5">
        <v>3.6371490861721378</v>
      </c>
      <c r="AX5">
        <v>3.6684031132979729</v>
      </c>
      <c r="AY5">
        <v>3.6087288231212442</v>
      </c>
      <c r="AZ5">
        <v>3.6217399964462897</v>
      </c>
      <c r="BA5">
        <v>3.634216450554852</v>
      </c>
      <c r="BB5">
        <v>3.6800931142172879</v>
      </c>
      <c r="BC5">
        <v>3.6571027624062542</v>
      </c>
      <c r="BD5">
        <v>3.6513481264243359</v>
      </c>
      <c r="BE5">
        <v>3.623482771185091</v>
      </c>
      <c r="BF5">
        <v>3.6362015998415549</v>
      </c>
      <c r="BG5">
        <v>3.633383002200941</v>
      </c>
      <c r="BH5">
        <v>3.6280839416883142</v>
      </c>
      <c r="BI5">
        <v>3.6116881947841217</v>
      </c>
      <c r="BJ5">
        <v>3.6317510047115369</v>
      </c>
      <c r="BK5">
        <v>3.6453434577230026</v>
      </c>
      <c r="BL5">
        <v>3.6432679678189199</v>
      </c>
      <c r="BM5">
        <v>3.6537236078446833</v>
      </c>
      <c r="BN5">
        <v>3.6425082693581374</v>
      </c>
      <c r="BO5">
        <v>3.6574340733727535</v>
      </c>
      <c r="BP5">
        <v>3.627324989913618</v>
      </c>
      <c r="BQ5">
        <v>3.6707810103023735</v>
      </c>
      <c r="BR5">
        <v>3.624461629019637</v>
      </c>
      <c r="BS5">
        <v>3.6339618012231569</v>
      </c>
      <c r="BT5">
        <v>3.6628267650171513</v>
      </c>
      <c r="BU5">
        <v>3.6629472459816887</v>
      </c>
      <c r="BV5">
        <v>3.6540965720434202</v>
      </c>
      <c r="BW5">
        <v>3.6390774869105695</v>
      </c>
      <c r="BX5">
        <v>3.6683915774879119</v>
      </c>
      <c r="BY5">
        <v>3.6641686276663097</v>
      </c>
      <c r="BZ5">
        <v>3.6466362405112398</v>
      </c>
      <c r="CA5">
        <v>3.6472831141645146</v>
      </c>
      <c r="CB5">
        <v>3.6286977258998823</v>
      </c>
      <c r="CC5">
        <v>3.6525936559302266</v>
      </c>
      <c r="CD5">
        <v>3.6463530928030878</v>
      </c>
      <c r="CE5">
        <v>3.6547344586236541</v>
      </c>
      <c r="CF5">
        <v>3.6523252916654698</v>
      </c>
      <c r="CG5">
        <v>3.6427746111885342</v>
      </c>
      <c r="CH5">
        <v>3.6429909803775762</v>
      </c>
      <c r="CI5">
        <v>3.643273913497111</v>
      </c>
      <c r="CJ5">
        <v>3.6508792180271294</v>
      </c>
      <c r="CK5">
        <v>3.6524380606238518</v>
      </c>
      <c r="CL5">
        <v>3.6408341331970311</v>
      </c>
      <c r="CM5">
        <v>3.6487181919880398</v>
      </c>
      <c r="CX5" t="s">
        <v>173</v>
      </c>
      <c r="CY5">
        <v>537</v>
      </c>
      <c r="CZ5" t="s">
        <v>110</v>
      </c>
      <c r="DA5" t="s">
        <v>159</v>
      </c>
      <c r="DB5" t="s">
        <v>160</v>
      </c>
      <c r="DC5" t="s">
        <v>161</v>
      </c>
      <c r="DD5" t="s">
        <v>169</v>
      </c>
    </row>
    <row r="6" spans="1:108" x14ac:dyDescent="0.35">
      <c r="A6" t="s">
        <v>174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3.6183840223652632</v>
      </c>
      <c r="M6">
        <v>3.6346029752618838</v>
      </c>
      <c r="N6">
        <v>3.6300183629464051</v>
      </c>
      <c r="O6">
        <v>3.4766887468856469</v>
      </c>
      <c r="P6">
        <v>3.6758634685154679</v>
      </c>
      <c r="Q6">
        <v>3.6129546916070496</v>
      </c>
      <c r="R6">
        <v>3.6850544614894898</v>
      </c>
      <c r="S6">
        <v>3.5871874508106631</v>
      </c>
      <c r="T6">
        <v>3.571388926297077</v>
      </c>
      <c r="U6">
        <v>3.5888081488975154</v>
      </c>
      <c r="V6">
        <v>3.6178342996663488</v>
      </c>
      <c r="W6">
        <v>3.614060447130913</v>
      </c>
      <c r="X6">
        <v>3.6371766509270502</v>
      </c>
      <c r="Y6">
        <v>3.5695005991778981</v>
      </c>
      <c r="Z6">
        <v>3.6055742468618739</v>
      </c>
      <c r="AA6">
        <v>3.6943386741675561</v>
      </c>
      <c r="AB6">
        <v>3.598874024929152</v>
      </c>
      <c r="AC6">
        <v>3.5082939867167484</v>
      </c>
      <c r="AD6">
        <v>3.6242258849948441</v>
      </c>
      <c r="AE6">
        <v>3.6216303582758655</v>
      </c>
      <c r="AF6">
        <v>3.626136330979258</v>
      </c>
      <c r="AG6">
        <v>3.6207137012809865</v>
      </c>
      <c r="AH6">
        <v>3.6405738743316411</v>
      </c>
      <c r="AI6">
        <v>3.6048699474987962</v>
      </c>
      <c r="AJ6">
        <v>3.6662622257804167</v>
      </c>
      <c r="AK6">
        <v>3.6226021881574981</v>
      </c>
      <c r="AL6">
        <v>3.6731249530119809</v>
      </c>
      <c r="AM6">
        <v>3.6359381486680098</v>
      </c>
      <c r="AN6">
        <v>3.6434847932775041</v>
      </c>
      <c r="AO6">
        <v>3.6211015942714941</v>
      </c>
      <c r="AP6">
        <v>3.631235165503679</v>
      </c>
      <c r="AQ6">
        <v>3.6373600754061126</v>
      </c>
      <c r="AR6">
        <v>3.6292789194470463</v>
      </c>
      <c r="AS6">
        <v>3.6404344356587086</v>
      </c>
      <c r="AT6">
        <v>3.6360971498897809</v>
      </c>
      <c r="AU6">
        <v>3.6282070554039678</v>
      </c>
      <c r="AV6">
        <v>3.6403841932448988</v>
      </c>
      <c r="AW6">
        <v>3.623818324507023</v>
      </c>
      <c r="AX6">
        <v>3.630691596025561</v>
      </c>
      <c r="AY6">
        <v>3.6253159064782254</v>
      </c>
      <c r="CX6" t="s">
        <v>175</v>
      </c>
      <c r="CY6">
        <v>538</v>
      </c>
      <c r="CZ6" t="s">
        <v>110</v>
      </c>
      <c r="DA6" t="s">
        <v>176</v>
      </c>
      <c r="DB6" t="s">
        <v>160</v>
      </c>
      <c r="DC6" t="s">
        <v>161</v>
      </c>
      <c r="DD6" t="s">
        <v>169</v>
      </c>
    </row>
    <row r="7" spans="1:108" x14ac:dyDescent="0.35">
      <c r="A7" t="s">
        <v>179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3.6316143951173312</v>
      </c>
      <c r="M7">
        <v>3.7170274556822722</v>
      </c>
      <c r="N7">
        <v>3.8409650716727168</v>
      </c>
      <c r="O7">
        <v>3.768572192604851</v>
      </c>
      <c r="P7">
        <v>3.7433955315468248</v>
      </c>
      <c r="Q7">
        <v>3.6559926644452254</v>
      </c>
      <c r="R7">
        <v>3.666168554503761</v>
      </c>
      <c r="S7">
        <v>3.7827713376390459</v>
      </c>
      <c r="T7">
        <v>3.7864561492792359</v>
      </c>
      <c r="U7">
        <v>3.6471562759272498</v>
      </c>
      <c r="V7">
        <v>3.7295273477530064</v>
      </c>
      <c r="W7">
        <v>3.7609857906698321</v>
      </c>
      <c r="X7">
        <v>3.7974812659611374</v>
      </c>
      <c r="Y7">
        <v>3.8028473157670049</v>
      </c>
      <c r="Z7">
        <v>3.7893280946952159</v>
      </c>
      <c r="AA7">
        <v>3.7968262059048068</v>
      </c>
      <c r="AB7">
        <v>3.7732748754450447</v>
      </c>
      <c r="AC7">
        <v>3.870580871231621</v>
      </c>
      <c r="AD7">
        <v>3.7908139402905361</v>
      </c>
      <c r="AE7">
        <v>3.7336427407596791</v>
      </c>
      <c r="AF7">
        <v>3.7200545422243634</v>
      </c>
      <c r="AG7">
        <v>3.7452301647023511</v>
      </c>
      <c r="AH7">
        <v>3.7841007862058849</v>
      </c>
      <c r="AI7">
        <v>3.782815559969579</v>
      </c>
      <c r="AJ7">
        <v>3.8033962114332049</v>
      </c>
      <c r="AK7">
        <v>3.7705216209156109</v>
      </c>
      <c r="AL7">
        <v>3.7951976373225209</v>
      </c>
      <c r="AM7">
        <v>3.7768407323228912</v>
      </c>
      <c r="AN7">
        <v>3.7931098799010758</v>
      </c>
      <c r="AO7">
        <v>3.7835105797776309</v>
      </c>
      <c r="AP7">
        <v>3.7867327039028948</v>
      </c>
      <c r="AQ7">
        <v>3.8566794499055792</v>
      </c>
      <c r="AR7">
        <v>3.7855442146400979</v>
      </c>
      <c r="AS7">
        <v>3.8062970192658501</v>
      </c>
      <c r="AT7">
        <v>3.7792366876635488</v>
      </c>
      <c r="AU7">
        <v>3.7974493370236138</v>
      </c>
      <c r="AV7">
        <v>3.7984060892164382</v>
      </c>
      <c r="AW7">
        <v>3.734657894934005</v>
      </c>
      <c r="AX7">
        <v>3.7625185628202655</v>
      </c>
      <c r="AY7">
        <v>3.7968475782130202</v>
      </c>
      <c r="AZ7">
        <v>3.7997678761947919</v>
      </c>
      <c r="BA7">
        <v>3.7810259948480418</v>
      </c>
      <c r="BB7">
        <v>3.8447478883553976</v>
      </c>
      <c r="BC7">
        <v>3.7985334443687062</v>
      </c>
      <c r="BD7">
        <v>3.8175189356577879</v>
      </c>
      <c r="BE7">
        <v>3.8042046821236362</v>
      </c>
      <c r="BF7">
        <v>3.780349251855053</v>
      </c>
      <c r="BG7">
        <v>3.8074349372339391</v>
      </c>
      <c r="BH7">
        <v>3.8033254318293159</v>
      </c>
      <c r="BI7">
        <v>3.7975943915517618</v>
      </c>
      <c r="BJ7">
        <v>3.7822259983237481</v>
      </c>
      <c r="BK7">
        <v>3.8078464051344874</v>
      </c>
      <c r="BL7">
        <v>3.80943910059352</v>
      </c>
      <c r="BM7">
        <v>3.764503464919053</v>
      </c>
      <c r="BN7">
        <v>3.7924017861826722</v>
      </c>
      <c r="BO7">
        <v>3.79433578729952</v>
      </c>
      <c r="BP7">
        <v>3.785720431095744</v>
      </c>
      <c r="BQ7">
        <v>3.7963552942526113</v>
      </c>
      <c r="BR7">
        <v>3.7831331793705503</v>
      </c>
      <c r="BS7">
        <v>3.7931086157797722</v>
      </c>
      <c r="BT7">
        <v>3.8011635242700001</v>
      </c>
      <c r="BU7">
        <v>3.7906377951772572</v>
      </c>
      <c r="BV7">
        <v>3.79600651887788</v>
      </c>
      <c r="BW7">
        <v>3.8033186342102332</v>
      </c>
      <c r="BX7">
        <v>3.8209476396661146</v>
      </c>
      <c r="BY7">
        <v>3.8076281534714775</v>
      </c>
      <c r="BZ7">
        <v>3.7948924152708976</v>
      </c>
      <c r="CA7">
        <v>3.7854699318604959</v>
      </c>
      <c r="CB7">
        <v>3.790566675695795</v>
      </c>
      <c r="CC7">
        <v>3.8180724924909741</v>
      </c>
      <c r="CD7">
        <v>3.7951498546886766</v>
      </c>
      <c r="CE7">
        <v>3.8001492926918718</v>
      </c>
      <c r="CF7">
        <v>3.7990994365527455</v>
      </c>
      <c r="CG7">
        <v>3.8031976241509642</v>
      </c>
      <c r="CH7">
        <v>3.8026430016243769</v>
      </c>
      <c r="CI7">
        <v>3.8004364775916391</v>
      </c>
      <c r="CJ7">
        <v>3.7998474623342919</v>
      </c>
      <c r="CK7">
        <v>3.800593726082925</v>
      </c>
      <c r="CL7">
        <v>3.8044933754424015</v>
      </c>
      <c r="CM7">
        <v>3.8058872130553696</v>
      </c>
      <c r="CX7" t="s">
        <v>180</v>
      </c>
      <c r="CY7">
        <v>536</v>
      </c>
      <c r="CZ7" t="s">
        <v>117</v>
      </c>
      <c r="DA7" t="s">
        <v>159</v>
      </c>
      <c r="DB7" t="s">
        <v>160</v>
      </c>
      <c r="DC7" t="s">
        <v>161</v>
      </c>
      <c r="DD7" t="s">
        <v>162</v>
      </c>
    </row>
    <row r="8" spans="1:108" x14ac:dyDescent="0.35">
      <c r="A8" t="s">
        <v>181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3.6682480826886912</v>
      </c>
      <c r="M8">
        <v>3.7593308397015601</v>
      </c>
      <c r="N8">
        <v>3.7393447361712058</v>
      </c>
      <c r="O8">
        <v>3.6939615812541402</v>
      </c>
      <c r="P8">
        <v>3.6576477633171969</v>
      </c>
      <c r="Q8">
        <v>3.7366419089061389</v>
      </c>
      <c r="R8">
        <v>3.8461430556073526</v>
      </c>
      <c r="S8">
        <v>3.8768094701489897</v>
      </c>
      <c r="T8">
        <v>3.7097897564772753</v>
      </c>
      <c r="U8">
        <v>3.6878330817783391</v>
      </c>
      <c r="V8">
        <v>3.7900329578091374</v>
      </c>
      <c r="W8">
        <v>3.736219171448421</v>
      </c>
      <c r="X8">
        <v>3.7880586726275984</v>
      </c>
      <c r="Y8">
        <v>3.7015913838556105</v>
      </c>
      <c r="Z8">
        <v>3.813937525238182</v>
      </c>
      <c r="AA8">
        <v>3.8714442237586888</v>
      </c>
      <c r="AB8">
        <v>3.7651224303394288</v>
      </c>
      <c r="AC8">
        <v>3.7507950376621695</v>
      </c>
      <c r="AD8">
        <v>3.7656531358113687</v>
      </c>
      <c r="AE8">
        <v>3.7558449158026339</v>
      </c>
      <c r="AF8">
        <v>3.8166880077347383</v>
      </c>
      <c r="AG8">
        <v>3.8079596115227838</v>
      </c>
      <c r="AH8">
        <v>3.7788322094315818</v>
      </c>
      <c r="AI8">
        <v>3.8076170699377738</v>
      </c>
      <c r="AJ8">
        <v>3.788348597036252</v>
      </c>
      <c r="AK8">
        <v>3.7661079624365024</v>
      </c>
      <c r="AL8">
        <v>3.7554991990991375</v>
      </c>
      <c r="AM8">
        <v>3.7851572510190339</v>
      </c>
      <c r="AN8">
        <v>3.7478443241201753</v>
      </c>
      <c r="AO8">
        <v>3.7335580974836775</v>
      </c>
      <c r="AP8">
        <v>3.762997695983417</v>
      </c>
      <c r="AQ8">
        <v>3.7805364580018654</v>
      </c>
      <c r="AR8">
        <v>3.7993755406838905</v>
      </c>
      <c r="AS8">
        <v>3.8064514612520508</v>
      </c>
      <c r="AT8">
        <v>3.7884798028625393</v>
      </c>
      <c r="AU8">
        <v>3.7636153391380782</v>
      </c>
      <c r="AV8">
        <v>3.7827326658180049</v>
      </c>
      <c r="AW8">
        <v>3.8120764808583769</v>
      </c>
      <c r="AX8">
        <v>3.8123256742468459</v>
      </c>
      <c r="AY8">
        <v>3.8222946356558278</v>
      </c>
      <c r="AZ8">
        <v>3.754215599847889</v>
      </c>
      <c r="BA8">
        <v>3.7867620807841833</v>
      </c>
      <c r="BB8">
        <v>3.7497903216462927</v>
      </c>
      <c r="BC8">
        <v>3.7721643865255179</v>
      </c>
      <c r="BD8">
        <v>3.7484640690041</v>
      </c>
      <c r="BE8">
        <v>3.7943973952071537</v>
      </c>
      <c r="BF8">
        <v>3.8018497328761263</v>
      </c>
      <c r="BG8">
        <v>3.7685105273626913</v>
      </c>
      <c r="BH8">
        <v>3.8299343609479939</v>
      </c>
      <c r="BI8">
        <v>3.7929685107088087</v>
      </c>
      <c r="BJ8">
        <v>3.7711740178905142</v>
      </c>
      <c r="BK8">
        <v>3.802709155677936</v>
      </c>
      <c r="BL8">
        <v>3.7826839874859148</v>
      </c>
      <c r="BM8">
        <v>3.781916437490259</v>
      </c>
      <c r="BN8">
        <v>3.8116549351122462</v>
      </c>
      <c r="BO8">
        <v>3.82066057474306</v>
      </c>
      <c r="BP8">
        <v>3.7855865440495959</v>
      </c>
      <c r="BQ8">
        <v>3.7610950378253647</v>
      </c>
      <c r="BR8">
        <v>3.7704066351360939</v>
      </c>
      <c r="BS8">
        <v>3.7442441109323599</v>
      </c>
      <c r="BT8">
        <v>3.7828258044777239</v>
      </c>
      <c r="BU8">
        <v>3.790131049723779</v>
      </c>
      <c r="BV8">
        <v>3.7799043988898262</v>
      </c>
      <c r="BW8">
        <v>3.7774582370587009</v>
      </c>
      <c r="BX8">
        <v>3.7839225808090409</v>
      </c>
      <c r="BY8">
        <v>3.7885913522930661</v>
      </c>
      <c r="BZ8">
        <v>3.7810425588920071</v>
      </c>
      <c r="CA8">
        <v>3.784982072628341</v>
      </c>
      <c r="CB8">
        <v>3.793171843263996</v>
      </c>
      <c r="CC8">
        <v>3.7731486973947108</v>
      </c>
      <c r="CX8" t="s">
        <v>182</v>
      </c>
      <c r="CY8">
        <v>538</v>
      </c>
      <c r="CZ8" t="s">
        <v>110</v>
      </c>
      <c r="DA8" t="s">
        <v>176</v>
      </c>
      <c r="DB8" t="s">
        <v>160</v>
      </c>
      <c r="DC8" t="s">
        <v>161</v>
      </c>
      <c r="DD8" t="s">
        <v>169</v>
      </c>
    </row>
    <row r="9" spans="1:108" x14ac:dyDescent="0.35">
      <c r="A9" t="s">
        <v>183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2.8805148836606453</v>
      </c>
      <c r="M9">
        <v>2.7102620508667181</v>
      </c>
      <c r="N9">
        <v>2.8484619757543626</v>
      </c>
      <c r="O9">
        <v>3.0103385751490839</v>
      </c>
      <c r="P9">
        <v>2.8854964810710841</v>
      </c>
      <c r="Q9">
        <v>2.8734629944827228</v>
      </c>
      <c r="R9">
        <v>2.8026924091251519</v>
      </c>
      <c r="S9">
        <v>2.9185741838637291</v>
      </c>
      <c r="T9">
        <v>2.9070191924954507</v>
      </c>
      <c r="U9">
        <v>2.7291189536766933</v>
      </c>
      <c r="V9">
        <v>2.9310917209883032</v>
      </c>
      <c r="W9">
        <v>2.9689709325388391</v>
      </c>
      <c r="X9">
        <v>2.9521420773407927</v>
      </c>
      <c r="Y9">
        <v>3.005735113880958</v>
      </c>
      <c r="Z9">
        <v>2.9166253677124634</v>
      </c>
      <c r="AA9">
        <v>2.8981883165975595</v>
      </c>
      <c r="AB9">
        <v>2.9027026740981654</v>
      </c>
      <c r="AC9">
        <v>2.8985645465898515</v>
      </c>
      <c r="AD9">
        <v>2.9282121919046857</v>
      </c>
      <c r="AE9">
        <v>2.9439760036678679</v>
      </c>
      <c r="AF9">
        <v>2.9093615845523937</v>
      </c>
      <c r="AG9">
        <v>2.9031381221218089</v>
      </c>
      <c r="AH9">
        <v>2.9261340382270249</v>
      </c>
      <c r="AI9">
        <v>2.8595033224597808</v>
      </c>
      <c r="AJ9">
        <v>2.8699326614460534</v>
      </c>
      <c r="AK9">
        <v>2.9353027641622789</v>
      </c>
      <c r="AL9">
        <v>2.9131519500885039</v>
      </c>
      <c r="AM9">
        <v>2.8921566651466937</v>
      </c>
      <c r="AN9">
        <v>2.8975929301153656</v>
      </c>
      <c r="AO9">
        <v>3.0002507926743331</v>
      </c>
      <c r="AP9">
        <v>2.8908493588768089</v>
      </c>
      <c r="AQ9">
        <v>2.9270487233893649</v>
      </c>
      <c r="AR9">
        <v>2.9030566759240619</v>
      </c>
      <c r="AS9">
        <v>2.9038202001757427</v>
      </c>
      <c r="AT9">
        <v>2.906134424273874</v>
      </c>
      <c r="AU9">
        <v>2.9069096270656138</v>
      </c>
      <c r="AV9">
        <v>2.9112711214447371</v>
      </c>
      <c r="AW9">
        <v>2.9325674520644198</v>
      </c>
      <c r="AX9">
        <v>2.9149334978909365</v>
      </c>
      <c r="AY9">
        <v>2.8679707014328497</v>
      </c>
      <c r="AZ9">
        <v>2.9083358969005344</v>
      </c>
      <c r="BA9">
        <v>2.912770365237936</v>
      </c>
      <c r="BB9">
        <v>2.932900814349451</v>
      </c>
      <c r="BC9">
        <v>2.9340184588371589</v>
      </c>
      <c r="BD9">
        <v>2.9032045053691808</v>
      </c>
      <c r="BE9">
        <v>2.910595639555301</v>
      </c>
      <c r="BF9">
        <v>2.9208155207654052</v>
      </c>
      <c r="BG9">
        <v>2.931337728968217</v>
      </c>
      <c r="BH9">
        <v>2.9423184719501858</v>
      </c>
      <c r="BI9">
        <v>2.9301246769768525</v>
      </c>
      <c r="BJ9">
        <v>2.9316336155632907</v>
      </c>
      <c r="BK9">
        <v>2.9332125126593205</v>
      </c>
      <c r="BL9">
        <v>2.941611654301429</v>
      </c>
      <c r="BM9">
        <v>2.926172434994248</v>
      </c>
      <c r="BN9">
        <v>2.936652065853584</v>
      </c>
      <c r="BO9">
        <v>2.9339620673199738</v>
      </c>
      <c r="BP9">
        <v>2.9292255039772579</v>
      </c>
      <c r="BQ9">
        <v>2.8868239565728762</v>
      </c>
      <c r="BR9">
        <v>2.9361488887898912</v>
      </c>
      <c r="BS9">
        <v>2.9091570811744512</v>
      </c>
      <c r="BT9">
        <v>2.9250129863674421</v>
      </c>
      <c r="BU9">
        <v>2.924850664357264</v>
      </c>
      <c r="BV9">
        <v>2.9239201112298101</v>
      </c>
      <c r="BW9">
        <v>2.9253478259092844</v>
      </c>
      <c r="BX9">
        <v>2.922574129644921</v>
      </c>
      <c r="BY9">
        <v>2.9253478259092844</v>
      </c>
      <c r="BZ9">
        <v>2.925509876514957</v>
      </c>
      <c r="CA9">
        <v>2.9239201112298101</v>
      </c>
      <c r="CB9">
        <v>2.9250129863674421</v>
      </c>
      <c r="CC9">
        <v>2.9237262144691627</v>
      </c>
      <c r="CX9" t="s">
        <v>184</v>
      </c>
      <c r="CY9">
        <v>539</v>
      </c>
      <c r="CZ9" t="s">
        <v>117</v>
      </c>
      <c r="DA9" t="s">
        <v>176</v>
      </c>
      <c r="DB9" t="s">
        <v>160</v>
      </c>
      <c r="DC9" t="s">
        <v>161</v>
      </c>
      <c r="DD9" t="s">
        <v>162</v>
      </c>
    </row>
    <row r="10" spans="1:108" x14ac:dyDescent="0.35">
      <c r="A10" t="s">
        <v>185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3.8579905501279481</v>
      </c>
      <c r="M10">
        <v>3.8922333870106769</v>
      </c>
      <c r="N10">
        <v>3.8570463407380422</v>
      </c>
      <c r="O10">
        <v>3.6899105671362289</v>
      </c>
      <c r="P10">
        <v>3.7985596674111366</v>
      </c>
      <c r="Q10">
        <v>3.8385838210380481</v>
      </c>
      <c r="R10">
        <v>3.7775349483349112</v>
      </c>
      <c r="S10">
        <v>3.8861398007398962</v>
      </c>
      <c r="T10">
        <v>3.7784447383552098</v>
      </c>
      <c r="U10">
        <v>3.8655787746679402</v>
      </c>
      <c r="V10">
        <v>3.8847208463023839</v>
      </c>
      <c r="W10">
        <v>3.913708276974583</v>
      </c>
      <c r="X10">
        <v>3.8516867741640088</v>
      </c>
      <c r="Y10">
        <v>3.8267189738026048</v>
      </c>
      <c r="Z10">
        <v>3.8508827973200042</v>
      </c>
      <c r="AA10">
        <v>3.920167083278415</v>
      </c>
      <c r="AB10">
        <v>3.891694403622608</v>
      </c>
      <c r="AC10">
        <v>4.0039058866288126</v>
      </c>
      <c r="AD10">
        <v>3.8902769991974941</v>
      </c>
      <c r="AE10">
        <v>3.857768725642865</v>
      </c>
      <c r="AF10">
        <v>3.8866562404785272</v>
      </c>
      <c r="AG10">
        <v>3.8569846608085943</v>
      </c>
      <c r="AH10">
        <v>3.9213863042018162</v>
      </c>
      <c r="AI10">
        <v>3.9215399416822629</v>
      </c>
      <c r="AJ10">
        <v>3.865046224105511</v>
      </c>
      <c r="AK10">
        <v>3.8596647145572081</v>
      </c>
      <c r="AL10">
        <v>3.8492692191423998</v>
      </c>
      <c r="AM10">
        <v>3.859400110828886</v>
      </c>
      <c r="AN10">
        <v>3.8787833042492834</v>
      </c>
      <c r="AO10">
        <v>3.9345329719223754</v>
      </c>
      <c r="AP10">
        <v>3.9788656809542768</v>
      </c>
      <c r="AQ10">
        <v>3.8933514036669337</v>
      </c>
      <c r="AR10">
        <v>3.850814934553247</v>
      </c>
      <c r="AS10">
        <v>3.8827745844240655</v>
      </c>
      <c r="AT10">
        <v>3.93640955102298</v>
      </c>
      <c r="AU10">
        <v>3.9088454354777418</v>
      </c>
      <c r="AV10">
        <v>3.9139039363671135</v>
      </c>
      <c r="AW10">
        <v>3.933562134633207</v>
      </c>
      <c r="AX10">
        <v>3.8793141978784296</v>
      </c>
      <c r="AY10">
        <v>3.8783355369854902</v>
      </c>
      <c r="AZ10">
        <v>3.9024611007081091</v>
      </c>
      <c r="BA10">
        <v>3.9010964712267193</v>
      </c>
      <c r="BB10">
        <v>3.8521687346355766</v>
      </c>
      <c r="BC10">
        <v>3.915625571391137</v>
      </c>
      <c r="BD10">
        <v>3.9182931830530858</v>
      </c>
      <c r="BE10">
        <v>3.8602564469262401</v>
      </c>
      <c r="BF10">
        <v>3.9313299939120032</v>
      </c>
      <c r="BG10">
        <v>3.9003479609025953</v>
      </c>
      <c r="BH10">
        <v>3.931806457231136</v>
      </c>
      <c r="BI10">
        <v>3.8800168557844001</v>
      </c>
      <c r="BJ10">
        <v>3.9105180720644368</v>
      </c>
      <c r="BK10">
        <v>3.8980659911333952</v>
      </c>
      <c r="BL10">
        <v>3.8846070591423714</v>
      </c>
      <c r="BM10">
        <v>3.8888602707550062</v>
      </c>
      <c r="BN10">
        <v>3.9123800091033041</v>
      </c>
      <c r="BO10">
        <v>3.938073547785204</v>
      </c>
      <c r="BP10">
        <v>3.903011934302973</v>
      </c>
      <c r="BQ10">
        <v>3.9111582901001314</v>
      </c>
      <c r="BR10">
        <v>3.9047617752474419</v>
      </c>
      <c r="BS10">
        <v>3.9274803752647314</v>
      </c>
      <c r="BT10">
        <v>3.9036619792405549</v>
      </c>
      <c r="BU10">
        <v>3.9218604654735438</v>
      </c>
      <c r="BV10">
        <v>3.8981311729472257</v>
      </c>
      <c r="BW10">
        <v>3.886080160148961</v>
      </c>
      <c r="BX10">
        <v>3.901720952468259</v>
      </c>
      <c r="BY10">
        <v>3.897758616481279</v>
      </c>
      <c r="BZ10">
        <v>3.9041849578066539</v>
      </c>
      <c r="CA10">
        <v>3.8999037980041682</v>
      </c>
      <c r="CB10">
        <v>3.8793982379537222</v>
      </c>
      <c r="CC10">
        <v>3.9045746802485759</v>
      </c>
      <c r="CD10">
        <v>3.9176080643415361</v>
      </c>
      <c r="CE10">
        <v>3.9063161400867692</v>
      </c>
      <c r="CF10">
        <v>3.9036856072013353</v>
      </c>
      <c r="CG10">
        <v>3.9059126239069952</v>
      </c>
      <c r="CH10">
        <v>3.9123767380561456</v>
      </c>
      <c r="CI10">
        <v>3.9095637827722216</v>
      </c>
      <c r="CJ10">
        <v>3.9081921441874821</v>
      </c>
      <c r="CK10">
        <v>3.907463212812591</v>
      </c>
      <c r="CL10">
        <v>3.8943648022504478</v>
      </c>
      <c r="CM10">
        <v>3.8973980829264208</v>
      </c>
      <c r="CN10">
        <v>3.913107091895101</v>
      </c>
      <c r="CO10">
        <v>3.9033740287481393</v>
      </c>
      <c r="CP10">
        <v>3.9051717758766342</v>
      </c>
      <c r="CQ10">
        <v>3.9077563570611935</v>
      </c>
      <c r="CR10">
        <v>3.9044432267334552</v>
      </c>
      <c r="CS10">
        <v>3.9072857451346281</v>
      </c>
      <c r="CT10">
        <v>3.9062120734938599</v>
      </c>
      <c r="CU10">
        <v>3.9089666532518081</v>
      </c>
      <c r="CV10">
        <v>3.9092502558657118</v>
      </c>
      <c r="CW10">
        <v>3.9077872130918991</v>
      </c>
      <c r="CX10" t="s">
        <v>186</v>
      </c>
      <c r="CY10">
        <v>536</v>
      </c>
      <c r="CZ10" t="s">
        <v>117</v>
      </c>
      <c r="DA10" t="s">
        <v>159</v>
      </c>
      <c r="DB10" t="s">
        <v>160</v>
      </c>
      <c r="DC10" t="s">
        <v>161</v>
      </c>
      <c r="DD10" t="s">
        <v>162</v>
      </c>
    </row>
    <row r="11" spans="1:108" x14ac:dyDescent="0.35">
      <c r="A11" t="s">
        <v>187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4.1435954875195975</v>
      </c>
      <c r="M11">
        <v>4.0639637308015892</v>
      </c>
      <c r="N11">
        <v>4.2446468821079142</v>
      </c>
      <c r="O11">
        <v>4.0913516085326052</v>
      </c>
      <c r="P11">
        <v>4.0965163614375424</v>
      </c>
      <c r="Q11">
        <v>4.1765735957688399</v>
      </c>
      <c r="R11">
        <v>4.2740384861425094</v>
      </c>
      <c r="S11">
        <v>4.2535602061761972</v>
      </c>
      <c r="T11">
        <v>4.1937909519694259</v>
      </c>
      <c r="U11">
        <v>4.233223271509023</v>
      </c>
      <c r="V11">
        <v>4.2111682433875792</v>
      </c>
      <c r="W11">
        <v>4.1340110650774822</v>
      </c>
      <c r="X11">
        <v>4.1788175610148004</v>
      </c>
      <c r="Y11">
        <v>4.2137846472900069</v>
      </c>
      <c r="Z11">
        <v>4.2733097455033624</v>
      </c>
      <c r="AA11">
        <v>4.2577657523475514</v>
      </c>
      <c r="AB11">
        <v>4.2793241119121657</v>
      </c>
      <c r="AC11">
        <v>4.3148848188813655</v>
      </c>
      <c r="AD11">
        <v>4.1920007111303033</v>
      </c>
      <c r="AE11">
        <v>4.2043270266651271</v>
      </c>
      <c r="AF11">
        <v>4.1625605913502763</v>
      </c>
      <c r="AG11">
        <v>4.2323441339168708</v>
      </c>
      <c r="AH11">
        <v>4.1977916645357753</v>
      </c>
      <c r="AI11">
        <v>4.1898019027360549</v>
      </c>
      <c r="AJ11">
        <v>4.2403613525956274</v>
      </c>
      <c r="AK11">
        <v>4.2356977679570917</v>
      </c>
      <c r="AL11">
        <v>4.2515077189548167</v>
      </c>
      <c r="AM11">
        <v>4.2562559830839506</v>
      </c>
      <c r="AN11">
        <v>4.2769780986774313</v>
      </c>
      <c r="AO11">
        <v>4.2456673364486957</v>
      </c>
      <c r="AP11">
        <v>4.3023957904211452</v>
      </c>
      <c r="AQ11">
        <v>4.2025678765469632</v>
      </c>
      <c r="AR11">
        <v>4.2829953644134822</v>
      </c>
      <c r="AS11">
        <v>4.2763048134925139</v>
      </c>
      <c r="AT11">
        <v>4.2198053835425737</v>
      </c>
      <c r="AU11">
        <v>4.2226282854021493</v>
      </c>
      <c r="AV11">
        <v>4.2052456249588994</v>
      </c>
      <c r="AW11">
        <v>4.2626402707672266</v>
      </c>
      <c r="AX11">
        <v>4.2461305170313697</v>
      </c>
      <c r="AY11">
        <v>4.2106067990816927</v>
      </c>
      <c r="AZ11">
        <v>4.2458964277188693</v>
      </c>
      <c r="BA11">
        <v>4.2293177592049709</v>
      </c>
      <c r="BB11">
        <v>4.247492747794432</v>
      </c>
      <c r="BC11">
        <v>4.2286738662043</v>
      </c>
      <c r="BD11">
        <v>4.2223531273703667</v>
      </c>
      <c r="BE11">
        <v>4.2204405178450202</v>
      </c>
      <c r="BF11">
        <v>4.2559567543992562</v>
      </c>
      <c r="BG11">
        <v>4.2524846989670682</v>
      </c>
      <c r="BH11">
        <v>4.2724438804294174</v>
      </c>
      <c r="BI11">
        <v>4.2315226546474474</v>
      </c>
      <c r="BJ11">
        <v>4.2714302734475273</v>
      </c>
      <c r="BK11">
        <v>4.2636571718691911</v>
      </c>
      <c r="BL11">
        <v>4.2390718649013426</v>
      </c>
      <c r="BM11">
        <v>4.243595682325414</v>
      </c>
      <c r="BN11">
        <v>4.2478401561912857</v>
      </c>
      <c r="BO11">
        <v>4.2343787172732767</v>
      </c>
      <c r="BP11">
        <v>4.2425654193675912</v>
      </c>
      <c r="BQ11">
        <v>4.2569115246812403</v>
      </c>
      <c r="BR11">
        <v>4.2447950036859616</v>
      </c>
      <c r="BS11">
        <v>4.2501462420070713</v>
      </c>
      <c r="BT11">
        <v>4.2213521953528952</v>
      </c>
      <c r="BU11">
        <v>4.2404117789544786</v>
      </c>
      <c r="BV11">
        <v>4.2419225661468554</v>
      </c>
      <c r="BW11">
        <v>4.2511776806650481</v>
      </c>
      <c r="BX11">
        <v>4.2492028395504917</v>
      </c>
      <c r="BY11">
        <v>4.2506750228949191</v>
      </c>
      <c r="BZ11">
        <v>4.2526145525946948</v>
      </c>
      <c r="CA11">
        <v>4.2476830178103366</v>
      </c>
      <c r="CB11">
        <v>4.2280633244998942</v>
      </c>
      <c r="CC11">
        <v>4.2469077429277977</v>
      </c>
      <c r="CD11">
        <v>4.2426029134971088</v>
      </c>
      <c r="CE11">
        <v>4.2434331734965234</v>
      </c>
      <c r="CF11">
        <v>4.2503165043457916</v>
      </c>
      <c r="CG11">
        <v>4.2570784531336265</v>
      </c>
      <c r="CH11">
        <v>4.2543949370505612</v>
      </c>
      <c r="CI11">
        <v>4.244624260908564</v>
      </c>
      <c r="CJ11">
        <v>4.250529737422208</v>
      </c>
      <c r="CK11">
        <v>4.2506222027963885</v>
      </c>
      <c r="CL11">
        <v>4.2411736066302099</v>
      </c>
      <c r="CM11">
        <v>4.239540433871638</v>
      </c>
      <c r="CX11" t="s">
        <v>188</v>
      </c>
      <c r="CY11">
        <v>537</v>
      </c>
      <c r="CZ11" t="s">
        <v>110</v>
      </c>
      <c r="DA11" t="s">
        <v>159</v>
      </c>
      <c r="DB11" t="s">
        <v>160</v>
      </c>
      <c r="DC11" t="s">
        <v>161</v>
      </c>
      <c r="DD11" t="s">
        <v>169</v>
      </c>
    </row>
    <row r="12" spans="1:108" x14ac:dyDescent="0.35">
      <c r="A12" t="s">
        <v>189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2.85117402159619</v>
      </c>
      <c r="M12">
        <v>2.9189313702828259</v>
      </c>
      <c r="N12">
        <v>2.9656445827304405</v>
      </c>
      <c r="O12">
        <v>2.8532098002633908</v>
      </c>
      <c r="P12">
        <v>2.884869770841739</v>
      </c>
      <c r="Q12">
        <v>2.7688023415082239</v>
      </c>
      <c r="R12">
        <v>2.8925127436199598</v>
      </c>
      <c r="S12">
        <v>2.9641255856566282</v>
      </c>
      <c r="T12">
        <v>2.8520382793598449</v>
      </c>
      <c r="U12">
        <v>2.8101810769231448</v>
      </c>
      <c r="V12">
        <v>2.8301712773672278</v>
      </c>
      <c r="W12">
        <v>2.9202080808976727</v>
      </c>
      <c r="X12">
        <v>2.9162984066395303</v>
      </c>
      <c r="Y12">
        <v>2.7606087743867302</v>
      </c>
      <c r="Z12">
        <v>2.8847474040735803</v>
      </c>
      <c r="AA12">
        <v>2.8531370182095981</v>
      </c>
      <c r="AB12">
        <v>2.8537688679612878</v>
      </c>
      <c r="AC12">
        <v>2.8663460092205564</v>
      </c>
      <c r="AD12">
        <v>2.8019918573426987</v>
      </c>
      <c r="AE12">
        <v>2.9564160879665247</v>
      </c>
      <c r="AF12">
        <v>2.8618890141485047</v>
      </c>
      <c r="AG12">
        <v>2.8626672454621995</v>
      </c>
      <c r="AH12">
        <v>2.8454357929157101</v>
      </c>
      <c r="AI12">
        <v>2.8021381447855265</v>
      </c>
      <c r="AJ12">
        <v>2.9132378580360201</v>
      </c>
      <c r="AK12">
        <v>2.8999487786243883</v>
      </c>
      <c r="AL12">
        <v>2.8860734779673294</v>
      </c>
      <c r="AM12">
        <v>2.9168843980480643</v>
      </c>
      <c r="AN12">
        <v>2.844849194597475</v>
      </c>
      <c r="AO12">
        <v>2.895820554891809</v>
      </c>
      <c r="AP12">
        <v>2.886237029713846</v>
      </c>
      <c r="AQ12">
        <v>2.9101321443710448</v>
      </c>
      <c r="AR12">
        <v>2.8525938093548491</v>
      </c>
      <c r="AS12">
        <v>2.8980395788744904</v>
      </c>
      <c r="AT12">
        <v>2.8728010989670985</v>
      </c>
      <c r="AU12">
        <v>2.8815657371236907</v>
      </c>
      <c r="AV12">
        <v>2.942200633903425</v>
      </c>
      <c r="AW12">
        <v>2.8434909270601323</v>
      </c>
      <c r="AX12">
        <v>2.8653604541377091</v>
      </c>
      <c r="AY12">
        <v>2.9007647269017744</v>
      </c>
      <c r="AZ12">
        <v>2.8661804013998515</v>
      </c>
      <c r="BA12">
        <v>2.9137405759906589</v>
      </c>
      <c r="BB12">
        <v>2.8849747831832886</v>
      </c>
      <c r="BC12">
        <v>2.8479387355758021</v>
      </c>
      <c r="BD12">
        <v>2.8450177029953934</v>
      </c>
      <c r="BE12">
        <v>2.8420923546241164</v>
      </c>
      <c r="BF12">
        <v>2.8877683455296528</v>
      </c>
      <c r="BG12">
        <v>2.8478041971188106</v>
      </c>
      <c r="BH12">
        <v>2.8443948634914751</v>
      </c>
      <c r="BI12">
        <v>2.8711473074313973</v>
      </c>
      <c r="BJ12">
        <v>2.8733022553572312</v>
      </c>
      <c r="BK12">
        <v>2.8866522670215731</v>
      </c>
      <c r="BL12">
        <v>2.8740200676847341</v>
      </c>
      <c r="BM12">
        <v>2.8792872637642057</v>
      </c>
      <c r="BN12">
        <v>2.8482739205846768</v>
      </c>
      <c r="BO12">
        <v>2.9077053156371839</v>
      </c>
      <c r="BP12">
        <v>2.8714373056297866</v>
      </c>
      <c r="BQ12">
        <v>2.8875295182097664</v>
      </c>
      <c r="BR12">
        <v>2.8716025633815399</v>
      </c>
      <c r="BS12">
        <v>2.8444870550982304</v>
      </c>
      <c r="BT12">
        <v>2.8803791303300965</v>
      </c>
      <c r="BU12">
        <v>2.8649724119798821</v>
      </c>
      <c r="BV12">
        <v>2.8793004850799919</v>
      </c>
      <c r="BW12">
        <v>2.8790942735683518</v>
      </c>
      <c r="BX12">
        <v>2.886623758570892</v>
      </c>
      <c r="BY12">
        <v>2.8933792817810322</v>
      </c>
      <c r="BZ12">
        <v>2.88965732465932</v>
      </c>
      <c r="CA12">
        <v>2.9024761108146251</v>
      </c>
      <c r="CB12">
        <v>2.8851330978770133</v>
      </c>
      <c r="CC12">
        <v>2.8922466932278841</v>
      </c>
      <c r="CD12">
        <v>2.8851624602108776</v>
      </c>
      <c r="CE12">
        <v>2.8856008614915472</v>
      </c>
      <c r="CF12">
        <v>2.8801687708957715</v>
      </c>
      <c r="CG12">
        <v>2.8693380850329531</v>
      </c>
      <c r="CH12">
        <v>2.8724233916247712</v>
      </c>
      <c r="CI12">
        <v>2.8862230786485723</v>
      </c>
      <c r="CJ12">
        <v>2.8833130715496424</v>
      </c>
      <c r="CK12">
        <v>2.8862524766748581</v>
      </c>
      <c r="CL12">
        <v>2.8803640742450387</v>
      </c>
      <c r="CM12">
        <v>2.885200080843584</v>
      </c>
      <c r="CX12" t="s">
        <v>190</v>
      </c>
      <c r="CY12">
        <v>539</v>
      </c>
      <c r="CZ12" t="s">
        <v>117</v>
      </c>
      <c r="DA12" t="s">
        <v>176</v>
      </c>
      <c r="DB12" t="s">
        <v>160</v>
      </c>
      <c r="DC12" t="s">
        <v>161</v>
      </c>
      <c r="DD12" t="s">
        <v>162</v>
      </c>
    </row>
    <row r="13" spans="1:108" x14ac:dyDescent="0.35">
      <c r="A13" t="s">
        <v>191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4.3239719047458776</v>
      </c>
      <c r="M13">
        <v>4.2442640150886817</v>
      </c>
      <c r="N13">
        <v>4.3766783749987157</v>
      </c>
      <c r="O13">
        <v>4.3760253494115204</v>
      </c>
      <c r="P13">
        <v>4.4461949747376508</v>
      </c>
      <c r="Q13">
        <v>4.332435563970539</v>
      </c>
      <c r="R13">
        <v>4.3197698603862431</v>
      </c>
      <c r="S13">
        <v>4.4023822774526478</v>
      </c>
      <c r="T13">
        <v>4.1604962709337086</v>
      </c>
      <c r="U13">
        <v>4.2509027005737243</v>
      </c>
      <c r="V13">
        <v>4.3651307167947566</v>
      </c>
      <c r="W13">
        <v>4.3027298244192576</v>
      </c>
      <c r="X13">
        <v>4.3370706386038629</v>
      </c>
      <c r="Y13">
        <v>4.3628700679323478</v>
      </c>
      <c r="Z13">
        <v>4.318790817611708</v>
      </c>
      <c r="AA13">
        <v>4.3742353234518321</v>
      </c>
      <c r="AB13">
        <v>4.3866132138057212</v>
      </c>
      <c r="AC13">
        <v>4.347741825408356</v>
      </c>
      <c r="AD13">
        <v>4.3218719832801877</v>
      </c>
      <c r="AE13">
        <v>4.3836128331947801</v>
      </c>
      <c r="AF13">
        <v>4.3416001895303289</v>
      </c>
      <c r="AG13">
        <v>4.3733370092455299</v>
      </c>
      <c r="AH13">
        <v>4.3401331287733473</v>
      </c>
      <c r="AI13">
        <v>4.3764237402992379</v>
      </c>
      <c r="AJ13">
        <v>4.4375886784590373</v>
      </c>
      <c r="AK13">
        <v>4.352078009298495</v>
      </c>
      <c r="AL13">
        <v>4.4004527386458303</v>
      </c>
      <c r="AM13">
        <v>4.3133702930590125</v>
      </c>
      <c r="AN13">
        <v>4.3504120490957918</v>
      </c>
      <c r="AO13">
        <v>4.4234711855723372</v>
      </c>
      <c r="AP13">
        <v>4.3914738524129424</v>
      </c>
      <c r="AQ13">
        <v>4.3781545127481438</v>
      </c>
      <c r="AR13">
        <v>4.3441239629197632</v>
      </c>
      <c r="AS13">
        <v>4.4189174123977564</v>
      </c>
      <c r="AT13">
        <v>4.3938314632749451</v>
      </c>
      <c r="AU13">
        <v>4.3230867694557924</v>
      </c>
      <c r="AV13">
        <v>4.3691253839276367</v>
      </c>
      <c r="AW13">
        <v>4.3379694835288527</v>
      </c>
      <c r="AX13">
        <v>4.3891330753093234</v>
      </c>
      <c r="AY13">
        <v>4.4016184382249834</v>
      </c>
      <c r="AZ13">
        <v>4.3598175363309597</v>
      </c>
      <c r="BA13">
        <v>4.3791292089528566</v>
      </c>
      <c r="BB13">
        <v>4.3975344235900025</v>
      </c>
      <c r="BC13">
        <v>4.3869104825536791</v>
      </c>
      <c r="BD13">
        <v>4.3635966387857366</v>
      </c>
      <c r="BE13">
        <v>4.3256842871485821</v>
      </c>
      <c r="BF13">
        <v>4.4025968048725668</v>
      </c>
      <c r="BG13">
        <v>4.4009025695083661</v>
      </c>
      <c r="BH13">
        <v>4.4075805302929991</v>
      </c>
      <c r="BI13">
        <v>4.3547125824593227</v>
      </c>
      <c r="BJ13">
        <v>4.360984853603747</v>
      </c>
      <c r="BK13">
        <v>4.3827210666658489</v>
      </c>
      <c r="BL13">
        <v>4.3506993292241676</v>
      </c>
      <c r="BM13">
        <v>4.3984005021549839</v>
      </c>
      <c r="BN13">
        <v>4.352022532297906</v>
      </c>
      <c r="BO13">
        <v>4.3579211247490433</v>
      </c>
      <c r="BP13">
        <v>4.3890825533818454</v>
      </c>
      <c r="BQ13">
        <v>4.3905706579699562</v>
      </c>
      <c r="BR13">
        <v>4.38111833656433</v>
      </c>
      <c r="BS13">
        <v>4.3877284288781544</v>
      </c>
      <c r="BT13">
        <v>4.3669571028744336</v>
      </c>
      <c r="BU13">
        <v>4.3858231771855971</v>
      </c>
      <c r="BV13">
        <v>4.3740392255536893</v>
      </c>
      <c r="BW13">
        <v>4.3912825306140446</v>
      </c>
      <c r="BX13">
        <v>4.3612016623763799</v>
      </c>
      <c r="BY13">
        <v>4.3702783806720991</v>
      </c>
      <c r="BZ13">
        <v>4.3724069902851399</v>
      </c>
      <c r="CA13">
        <v>4.3610599905837093</v>
      </c>
      <c r="CB13">
        <v>4.3632692745643498</v>
      </c>
      <c r="CC13">
        <v>4.347712888095268</v>
      </c>
      <c r="CD13">
        <v>4.3893439898903583</v>
      </c>
      <c r="CE13">
        <v>4.3821600090210175</v>
      </c>
      <c r="CF13">
        <v>4.3825675420721097</v>
      </c>
      <c r="CG13">
        <v>4.388394585793125</v>
      </c>
      <c r="CH13">
        <v>4.3789622567393849</v>
      </c>
      <c r="CI13">
        <v>4.3869191325716246</v>
      </c>
      <c r="CJ13">
        <v>4.3884908425302971</v>
      </c>
      <c r="CK13">
        <v>4.3832945446369305</v>
      </c>
      <c r="CL13">
        <v>4.3807875407960939</v>
      </c>
      <c r="CM13">
        <v>4.3749576601594153</v>
      </c>
      <c r="CX13" t="s">
        <v>192</v>
      </c>
      <c r="CY13">
        <v>537</v>
      </c>
      <c r="CZ13" t="s">
        <v>110</v>
      </c>
      <c r="DA13" t="s">
        <v>159</v>
      </c>
      <c r="DB13" t="s">
        <v>160</v>
      </c>
      <c r="DC13" t="s">
        <v>161</v>
      </c>
      <c r="DD13" t="s">
        <v>169</v>
      </c>
    </row>
    <row r="14" spans="1:108" x14ac:dyDescent="0.35">
      <c r="A14" t="s">
        <v>193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3.7889683393427038</v>
      </c>
      <c r="M14">
        <v>3.8178454444523591</v>
      </c>
      <c r="N14">
        <v>3.6907118163487449</v>
      </c>
      <c r="O14">
        <v>3.5874558315896978</v>
      </c>
      <c r="P14">
        <v>3.725062200372359</v>
      </c>
      <c r="Q14">
        <v>3.532487883048633</v>
      </c>
      <c r="R14">
        <v>3.7063640449662496</v>
      </c>
      <c r="S14">
        <v>3.6039026710669737</v>
      </c>
      <c r="T14">
        <v>3.6978549540271288</v>
      </c>
      <c r="U14">
        <v>3.6943332828099158</v>
      </c>
      <c r="V14">
        <v>3.7343611660033926</v>
      </c>
      <c r="W14">
        <v>3.7010166496565748</v>
      </c>
      <c r="X14">
        <v>3.7077078969248434</v>
      </c>
      <c r="Y14">
        <v>3.7007428259405479</v>
      </c>
      <c r="Z14">
        <v>3.6786121955563278</v>
      </c>
      <c r="AA14">
        <v>3.7442611126945771</v>
      </c>
      <c r="AB14">
        <v>3.7159725877219976</v>
      </c>
      <c r="AC14">
        <v>3.7335653664883863</v>
      </c>
      <c r="AD14">
        <v>3.6942587412792078</v>
      </c>
      <c r="AE14">
        <v>3.7182673583199937</v>
      </c>
      <c r="AF14">
        <v>3.7175898619167289</v>
      </c>
      <c r="AG14">
        <v>3.7062671290627298</v>
      </c>
      <c r="AH14">
        <v>3.6897157648924659</v>
      </c>
      <c r="AI14">
        <v>3.7331921922129059</v>
      </c>
      <c r="AJ14">
        <v>3.7660422061902201</v>
      </c>
      <c r="AK14">
        <v>3.6894284438134388</v>
      </c>
      <c r="AL14">
        <v>3.7415400705826962</v>
      </c>
      <c r="AM14">
        <v>3.7723790269889168</v>
      </c>
      <c r="AN14">
        <v>3.6852769043593998</v>
      </c>
      <c r="AO14">
        <v>3.7376141335577628</v>
      </c>
      <c r="AP14">
        <v>3.7095473760684894</v>
      </c>
      <c r="AQ14">
        <v>3.6946322561298941</v>
      </c>
      <c r="AR14">
        <v>3.74455894749592</v>
      </c>
      <c r="AS14">
        <v>3.7088468301930768</v>
      </c>
      <c r="AT14">
        <v>3.7225037140680111</v>
      </c>
      <c r="AU14">
        <v>3.7612449178890106</v>
      </c>
      <c r="AV14">
        <v>3.7205866819552762</v>
      </c>
      <c r="AW14">
        <v>3.6877096361214714</v>
      </c>
      <c r="AX14">
        <v>3.7169156988806691</v>
      </c>
      <c r="AY14">
        <v>3.7160848518369449</v>
      </c>
      <c r="AZ14">
        <v>3.693260387361029</v>
      </c>
      <c r="BA14">
        <v>3.6973230518831182</v>
      </c>
      <c r="BB14">
        <v>3.6925077466971383</v>
      </c>
      <c r="BC14">
        <v>3.7038483365395374</v>
      </c>
      <c r="BD14">
        <v>3.7277881923617011</v>
      </c>
      <c r="BE14">
        <v>3.7578340601567168</v>
      </c>
      <c r="BF14">
        <v>3.7462865858706578</v>
      </c>
      <c r="BG14">
        <v>3.6962885625750856</v>
      </c>
      <c r="BH14">
        <v>3.739210490611939</v>
      </c>
      <c r="BI14">
        <v>3.7137211032428148</v>
      </c>
      <c r="BJ14">
        <v>3.7059605595309857</v>
      </c>
      <c r="BK14">
        <v>3.6895070035195392</v>
      </c>
      <c r="BL14">
        <v>3.7289864137834265</v>
      </c>
      <c r="BM14">
        <v>3.7039177511588202</v>
      </c>
      <c r="BN14">
        <v>3.72944129864146</v>
      </c>
      <c r="BO14">
        <v>3.7186503014527768</v>
      </c>
      <c r="BP14">
        <v>3.7137279917496162</v>
      </c>
      <c r="BQ14">
        <v>3.724285791717608</v>
      </c>
      <c r="BR14">
        <v>3.6837479414029608</v>
      </c>
      <c r="BS14">
        <v>3.7193703660840622</v>
      </c>
      <c r="BT14">
        <v>3.718857738908262</v>
      </c>
      <c r="BU14">
        <v>3.7156072172897812</v>
      </c>
      <c r="BV14">
        <v>3.730932007952473</v>
      </c>
      <c r="BW14">
        <v>3.7018244901644328</v>
      </c>
      <c r="BX14">
        <v>3.7215698821666532</v>
      </c>
      <c r="BY14">
        <v>3.7049323150464151</v>
      </c>
      <c r="BZ14">
        <v>3.7249510125526868</v>
      </c>
      <c r="CA14">
        <v>3.6985141435372282</v>
      </c>
      <c r="CB14">
        <v>3.711943983695555</v>
      </c>
      <c r="CC14">
        <v>3.7155241642665513</v>
      </c>
      <c r="CD14">
        <v>3.7179250742805703</v>
      </c>
      <c r="CE14">
        <v>3.717427021464887</v>
      </c>
      <c r="CF14">
        <v>3.720862055347153</v>
      </c>
      <c r="CG14">
        <v>3.7226717652440544</v>
      </c>
      <c r="CH14">
        <v>3.7205959164668898</v>
      </c>
      <c r="CI14">
        <v>3.7192023521203699</v>
      </c>
      <c r="CJ14">
        <v>3.7243575798789128</v>
      </c>
      <c r="CK14">
        <v>3.7203752993168999</v>
      </c>
      <c r="CL14">
        <v>3.7182185897526816</v>
      </c>
      <c r="CM14">
        <v>3.7189616024893368</v>
      </c>
      <c r="CX14" t="s">
        <v>194</v>
      </c>
      <c r="CY14">
        <v>538</v>
      </c>
      <c r="CZ14" t="s">
        <v>110</v>
      </c>
      <c r="DA14" t="s">
        <v>176</v>
      </c>
      <c r="DB14" t="s">
        <v>160</v>
      </c>
      <c r="DC14" t="s">
        <v>161</v>
      </c>
      <c r="DD14" t="s">
        <v>169</v>
      </c>
    </row>
    <row r="15" spans="1:108" x14ac:dyDescent="0.35">
      <c r="A15" t="s">
        <v>195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3.2850451186381018</v>
      </c>
      <c r="M15">
        <v>3.4070901822419062</v>
      </c>
      <c r="N15">
        <v>3.3911513744370945</v>
      </c>
      <c r="O15">
        <v>3.4505275151125527</v>
      </c>
      <c r="P15">
        <v>3.5382636184488145</v>
      </c>
      <c r="Q15">
        <v>3.406357688701239</v>
      </c>
      <c r="R15">
        <v>3.3870000663673547</v>
      </c>
      <c r="S15">
        <v>3.2948998623243657</v>
      </c>
      <c r="T15">
        <v>3.3204733349805449</v>
      </c>
      <c r="U15">
        <v>3.4341153890023843</v>
      </c>
      <c r="V15">
        <v>3.4262053806943764</v>
      </c>
      <c r="W15">
        <v>3.2767319587307688</v>
      </c>
      <c r="X15">
        <v>3.4147182247041692</v>
      </c>
      <c r="Y15">
        <v>3.4557702968297832</v>
      </c>
      <c r="Z15">
        <v>3.273563765587133</v>
      </c>
      <c r="AA15">
        <v>3.3779414382456339</v>
      </c>
      <c r="AB15">
        <v>3.3683678686235932</v>
      </c>
      <c r="AC15">
        <v>3.4464879287779899</v>
      </c>
      <c r="AD15">
        <v>3.4553856776255087</v>
      </c>
      <c r="AE15">
        <v>3.3990309956234106</v>
      </c>
      <c r="AF15">
        <v>3.4541976843479363</v>
      </c>
      <c r="AG15">
        <v>3.4298017327956902</v>
      </c>
      <c r="AH15">
        <v>3.3757204928001947</v>
      </c>
      <c r="AI15">
        <v>3.3889470779348358</v>
      </c>
      <c r="AJ15">
        <v>3.4401013305858905</v>
      </c>
      <c r="AK15">
        <v>3.4084033703717469</v>
      </c>
      <c r="AL15">
        <v>3.359803022969059</v>
      </c>
      <c r="AM15">
        <v>3.4017215985430749</v>
      </c>
      <c r="AN15">
        <v>3.3557138637644921</v>
      </c>
      <c r="AO15">
        <v>3.4144725025216469</v>
      </c>
      <c r="AP15">
        <v>3.3804129779600882</v>
      </c>
      <c r="AQ15">
        <v>3.4149038336669082</v>
      </c>
      <c r="AR15">
        <v>3.430507270598393</v>
      </c>
      <c r="AS15">
        <v>3.4391154316811563</v>
      </c>
      <c r="AT15">
        <v>3.4458316757596901</v>
      </c>
      <c r="AU15">
        <v>3.4507055359964509</v>
      </c>
      <c r="AV15">
        <v>3.398020506891732</v>
      </c>
      <c r="AW15">
        <v>3.4010928932480882</v>
      </c>
      <c r="AX15">
        <v>3.4318228493974146</v>
      </c>
      <c r="AY15">
        <v>3.4573765530089986</v>
      </c>
      <c r="AZ15">
        <v>3.4216943133127886</v>
      </c>
      <c r="BA15">
        <v>3.4483818448996701</v>
      </c>
      <c r="BB15">
        <v>3.4093689259531081</v>
      </c>
      <c r="BC15">
        <v>3.4088918751832429</v>
      </c>
      <c r="BD15">
        <v>3.3802545135154989</v>
      </c>
      <c r="BE15">
        <v>3.407192942866021</v>
      </c>
      <c r="BF15">
        <v>3.391876072394564</v>
      </c>
      <c r="BG15">
        <v>3.3813296773697452</v>
      </c>
      <c r="BH15">
        <v>3.4038094562865728</v>
      </c>
      <c r="BI15">
        <v>3.4268407027300958</v>
      </c>
      <c r="BJ15">
        <v>3.3970175648784871</v>
      </c>
      <c r="BK15">
        <v>3.4399065039763368</v>
      </c>
      <c r="BL15">
        <v>3.4239380960157302</v>
      </c>
      <c r="BM15">
        <v>3.421508535579985</v>
      </c>
      <c r="BN15">
        <v>3.4455084330406938</v>
      </c>
      <c r="BO15">
        <v>3.4264586662172225</v>
      </c>
      <c r="BP15">
        <v>3.4336489150527405</v>
      </c>
      <c r="BQ15">
        <v>3.4331250881568649</v>
      </c>
      <c r="BR15">
        <v>3.4441625945465355</v>
      </c>
      <c r="BS15">
        <v>3.4118501580545253</v>
      </c>
      <c r="BT15">
        <v>3.4072658069634145</v>
      </c>
      <c r="BU15">
        <v>3.4196614028041741</v>
      </c>
      <c r="BV15">
        <v>3.4187341677712766</v>
      </c>
      <c r="BW15">
        <v>3.4333725883509838</v>
      </c>
      <c r="BX15">
        <v>3.4440425771884011</v>
      </c>
      <c r="BY15">
        <v>3.4192666252145085</v>
      </c>
      <c r="BZ15">
        <v>3.4178261447537435</v>
      </c>
      <c r="CA15">
        <v>3.4387949678506784</v>
      </c>
      <c r="CB15">
        <v>3.4391228793207529</v>
      </c>
      <c r="CC15">
        <v>3.420254999090206</v>
      </c>
      <c r="CD15">
        <v>3.4311080602623294</v>
      </c>
      <c r="CE15">
        <v>3.4284198725539863</v>
      </c>
      <c r="CF15">
        <v>3.4215586723914195</v>
      </c>
      <c r="CG15">
        <v>3.427052844793109</v>
      </c>
      <c r="CH15">
        <v>3.4263969269811736</v>
      </c>
      <c r="CI15">
        <v>3.4374408323746315</v>
      </c>
      <c r="CJ15">
        <v>3.4228827916799438</v>
      </c>
      <c r="CK15">
        <v>3.4293418079758222</v>
      </c>
      <c r="CL15">
        <v>3.4345038512407249</v>
      </c>
      <c r="CM15">
        <v>3.4415795665630364</v>
      </c>
      <c r="CX15" t="s">
        <v>196</v>
      </c>
      <c r="CY15">
        <v>539</v>
      </c>
      <c r="CZ15" t="s">
        <v>117</v>
      </c>
      <c r="DA15" t="s">
        <v>176</v>
      </c>
      <c r="DB15" t="s">
        <v>160</v>
      </c>
      <c r="DC15" t="s">
        <v>161</v>
      </c>
      <c r="DD15" t="s">
        <v>162</v>
      </c>
    </row>
    <row r="16" spans="1:108" x14ac:dyDescent="0.35">
      <c r="A16" t="s">
        <v>197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4.1474308839163045</v>
      </c>
      <c r="M16">
        <v>4.1859734531280681</v>
      </c>
      <c r="N16">
        <v>4.0784486535565616</v>
      </c>
      <c r="O16">
        <v>4.1758112868413377</v>
      </c>
      <c r="P16">
        <v>4.0922365212178899</v>
      </c>
      <c r="Q16">
        <v>4.1284932137806836</v>
      </c>
      <c r="R16">
        <v>4.1855420164699559</v>
      </c>
      <c r="S16">
        <v>4.0912528022785164</v>
      </c>
      <c r="T16">
        <v>4.1285040766461218</v>
      </c>
      <c r="U16">
        <v>4.1448336542101201</v>
      </c>
      <c r="V16">
        <v>4.1267219638832398</v>
      </c>
      <c r="W16">
        <v>4.2272469255884673</v>
      </c>
      <c r="X16">
        <v>4.1199559686332838</v>
      </c>
      <c r="Y16">
        <v>4.1509269194220924</v>
      </c>
      <c r="Z16">
        <v>4.0952402340118121</v>
      </c>
      <c r="AA16">
        <v>4.1165109287102828</v>
      </c>
      <c r="AB16">
        <v>4.154499510236624</v>
      </c>
      <c r="AC16">
        <v>4.0897782026212814</v>
      </c>
      <c r="AD16">
        <v>4.0945814466604418</v>
      </c>
      <c r="AE16">
        <v>4.1794122489269503</v>
      </c>
      <c r="AF16">
        <v>4.140521516649776</v>
      </c>
      <c r="AG16">
        <v>4.1716704564947307</v>
      </c>
      <c r="AH16">
        <v>4.197813154384705</v>
      </c>
      <c r="AI16">
        <v>4.1859245429662399</v>
      </c>
      <c r="AJ16">
        <v>4.1177109324487553</v>
      </c>
      <c r="AK16">
        <v>4.1745801730447996</v>
      </c>
      <c r="AL16">
        <v>4.1743330915267114</v>
      </c>
      <c r="AM16">
        <v>4.1370432028469457</v>
      </c>
      <c r="AN16">
        <v>4.1709046631481979</v>
      </c>
      <c r="AO16">
        <v>4.1000158592063132</v>
      </c>
      <c r="AP16">
        <v>4.1243979920362568</v>
      </c>
      <c r="AQ16">
        <v>4.2157143634164242</v>
      </c>
      <c r="AR16">
        <v>4.1920587113974861</v>
      </c>
      <c r="AS16">
        <v>4.228834568366568</v>
      </c>
      <c r="AT16">
        <v>4.1206532989447808</v>
      </c>
      <c r="AU16">
        <v>4.1298682977485477</v>
      </c>
      <c r="AV16">
        <v>4.2073105690784267</v>
      </c>
      <c r="AW16">
        <v>4.1659884076691149</v>
      </c>
      <c r="AX16">
        <v>4.1395455915460513</v>
      </c>
      <c r="AY16">
        <v>4.2071484221718034</v>
      </c>
      <c r="AZ16">
        <v>4.1709938754812228</v>
      </c>
      <c r="BA16">
        <v>4.1820379145454902</v>
      </c>
      <c r="BB16">
        <v>4.1492904088208107</v>
      </c>
      <c r="BC16">
        <v>4.1794368546469682</v>
      </c>
      <c r="BD16">
        <v>4.1831058757989306</v>
      </c>
      <c r="BE16">
        <v>4.1969034899519677</v>
      </c>
      <c r="BF16">
        <v>4.1381415558092565</v>
      </c>
      <c r="BG16">
        <v>4.1668068041725386</v>
      </c>
      <c r="BH16">
        <v>4.2145022671614951</v>
      </c>
      <c r="BI16">
        <v>4.1925239458295511</v>
      </c>
      <c r="BJ16">
        <v>4.202286544066907</v>
      </c>
      <c r="BK16">
        <v>4.1634602882558909</v>
      </c>
      <c r="BL16">
        <v>4.1934065620734131</v>
      </c>
      <c r="BM16">
        <v>4.1551239240915132</v>
      </c>
      <c r="BN16">
        <v>4.1695221994942067</v>
      </c>
      <c r="BO16">
        <v>4.1528045546476013</v>
      </c>
      <c r="BP16">
        <v>4.2011494212509861</v>
      </c>
      <c r="BQ16">
        <v>4.1767940770383047</v>
      </c>
      <c r="BR16">
        <v>4.1571491736541866</v>
      </c>
      <c r="BS16">
        <v>4.1664620383788256</v>
      </c>
      <c r="BT16">
        <v>4.1925765113079754</v>
      </c>
      <c r="BU16">
        <v>4.1996770126049086</v>
      </c>
      <c r="BV16">
        <v>4.1583847873905322</v>
      </c>
      <c r="BW16">
        <v>4.1725809637364346</v>
      </c>
      <c r="BX16">
        <v>4.174255375177764</v>
      </c>
      <c r="BY16">
        <v>4.181987313230068</v>
      </c>
      <c r="BZ16">
        <v>4.1494411315802449</v>
      </c>
      <c r="CA16">
        <v>4.1634877366918044</v>
      </c>
      <c r="CB16">
        <v>4.2052164980076014</v>
      </c>
      <c r="CC16">
        <v>4.1932340669818222</v>
      </c>
      <c r="CD16">
        <v>4.1805271155121124</v>
      </c>
      <c r="CE16">
        <v>4.1813931674656404</v>
      </c>
      <c r="CF16">
        <v>4.1691106318366593</v>
      </c>
      <c r="CG16">
        <v>4.1774590976549408</v>
      </c>
      <c r="CH16">
        <v>4.1646629887022337</v>
      </c>
      <c r="CI16">
        <v>4.1730158519982554</v>
      </c>
      <c r="CJ16">
        <v>4.1820415797785371</v>
      </c>
      <c r="CK16">
        <v>4.1698383419461598</v>
      </c>
      <c r="CL16">
        <v>4.1785833562199661</v>
      </c>
      <c r="CM16">
        <v>4.1655118208474882</v>
      </c>
      <c r="CN16">
        <v>4.1780909003492734</v>
      </c>
      <c r="CO16">
        <v>4.181114961232681</v>
      </c>
      <c r="CP16">
        <v>4.1818211675792414</v>
      </c>
      <c r="CQ16">
        <v>4.1817232471420764</v>
      </c>
      <c r="CR16">
        <v>4.1819467288351975</v>
      </c>
      <c r="CS16">
        <v>4.1798630787272657</v>
      </c>
      <c r="CT16">
        <v>4.1797169462957902</v>
      </c>
      <c r="CU16">
        <v>4.180522141751096</v>
      </c>
      <c r="CV16">
        <v>4.1801977766264997</v>
      </c>
      <c r="CW16">
        <v>4.1790223789687824</v>
      </c>
      <c r="CX16" t="s">
        <v>198</v>
      </c>
      <c r="CY16">
        <v>538</v>
      </c>
      <c r="CZ16" t="s">
        <v>110</v>
      </c>
      <c r="DA16" t="s">
        <v>176</v>
      </c>
      <c r="DB16" t="s">
        <v>160</v>
      </c>
      <c r="DC16" t="s">
        <v>161</v>
      </c>
      <c r="DD16" t="s">
        <v>169</v>
      </c>
    </row>
    <row r="17" spans="1:108" x14ac:dyDescent="0.35">
      <c r="A17" t="s">
        <v>199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2.8567494216236629</v>
      </c>
      <c r="M17">
        <v>2.6875966013648345</v>
      </c>
      <c r="N17">
        <v>2.8041323145262278</v>
      </c>
      <c r="O17">
        <v>2.929040596785637</v>
      </c>
      <c r="P17">
        <v>2.7655760203408124</v>
      </c>
      <c r="Q17">
        <v>2.8018082531267869</v>
      </c>
      <c r="R17">
        <v>2.710036456997118</v>
      </c>
      <c r="S17">
        <v>2.7278985421206401</v>
      </c>
      <c r="T17">
        <v>2.9137511263735747</v>
      </c>
      <c r="U17">
        <v>2.8918658221684268</v>
      </c>
      <c r="V17">
        <v>2.8265871979299839</v>
      </c>
      <c r="W17">
        <v>2.8726838374487245</v>
      </c>
      <c r="X17">
        <v>2.7456131297731008</v>
      </c>
      <c r="Y17">
        <v>2.8704402309907486</v>
      </c>
      <c r="Z17">
        <v>2.8276316694516592</v>
      </c>
      <c r="AA17">
        <v>2.8336549106264424</v>
      </c>
      <c r="AB17">
        <v>2.8693970212322939</v>
      </c>
      <c r="AC17">
        <v>2.8959563711841252</v>
      </c>
      <c r="AD17">
        <v>2.84752857274965</v>
      </c>
      <c r="AE17">
        <v>2.876133964379362</v>
      </c>
      <c r="AF17">
        <v>2.8623579052516988</v>
      </c>
      <c r="AG17">
        <v>2.8143796047830043</v>
      </c>
      <c r="AH17">
        <v>2.7955232613089112</v>
      </c>
      <c r="AI17">
        <v>2.8543654888069088</v>
      </c>
      <c r="AJ17">
        <v>2.8904946295983542</v>
      </c>
      <c r="AK17">
        <v>2.8546500692808903</v>
      </c>
      <c r="AL17">
        <v>2.8223196095802101</v>
      </c>
      <c r="AM17">
        <v>2.8197219474562139</v>
      </c>
      <c r="AN17">
        <v>2.8221492918314968</v>
      </c>
      <c r="AO17">
        <v>2.8543193835246146</v>
      </c>
      <c r="AP17">
        <v>2.8503282436476418</v>
      </c>
      <c r="AQ17">
        <v>2.7989764681329827</v>
      </c>
      <c r="AR17">
        <v>2.8216082472792934</v>
      </c>
      <c r="AS17">
        <v>2.8950732857832451</v>
      </c>
      <c r="AT17">
        <v>2.8498991539522285</v>
      </c>
      <c r="AU17">
        <v>2.8237845489755173</v>
      </c>
      <c r="AV17">
        <v>2.8394416747428108</v>
      </c>
      <c r="AW17">
        <v>2.824515742147053</v>
      </c>
      <c r="AX17">
        <v>2.8314355819053345</v>
      </c>
      <c r="AY17">
        <v>2.8520225740583323</v>
      </c>
      <c r="AZ17">
        <v>2.839411969423685</v>
      </c>
      <c r="BA17">
        <v>2.8248377546390051</v>
      </c>
      <c r="BB17">
        <v>2.8024343099918783</v>
      </c>
      <c r="BC17">
        <v>2.8387435537637802</v>
      </c>
      <c r="BD17">
        <v>2.8239793957243204</v>
      </c>
      <c r="BE17">
        <v>2.8598909197570177</v>
      </c>
      <c r="BF17">
        <v>2.8477013766518486</v>
      </c>
      <c r="BG17">
        <v>2.849070400849127</v>
      </c>
      <c r="BH17">
        <v>2.8141678878207976</v>
      </c>
      <c r="BI17">
        <v>2.8610062023849605</v>
      </c>
      <c r="BJ17">
        <v>2.8431601336731767</v>
      </c>
      <c r="BK17">
        <v>2.8572461796306841</v>
      </c>
      <c r="BL17">
        <v>2.8870305928462794</v>
      </c>
      <c r="BM17">
        <v>2.8249992404398307</v>
      </c>
      <c r="BN17">
        <v>2.8562172872117721</v>
      </c>
      <c r="BO17">
        <v>2.824100516141399</v>
      </c>
      <c r="BP17">
        <v>2.8249080650773002</v>
      </c>
      <c r="BQ17">
        <v>2.817652405609536</v>
      </c>
      <c r="BR17">
        <v>2.8514094457983568</v>
      </c>
      <c r="BS17">
        <v>2.8266468503676307</v>
      </c>
      <c r="BT17">
        <v>2.8334277566534349</v>
      </c>
      <c r="BU17">
        <v>2.858811070723323</v>
      </c>
      <c r="BV17">
        <v>2.843840787922927</v>
      </c>
      <c r="BW17">
        <v>2.8326217816440757</v>
      </c>
      <c r="BX17">
        <v>2.8656852496766545</v>
      </c>
      <c r="BY17">
        <v>2.8546799355744983</v>
      </c>
      <c r="BZ17">
        <v>2.8471500615267904</v>
      </c>
      <c r="CA17">
        <v>2.8472562578557685</v>
      </c>
      <c r="CB17">
        <v>2.8398071358859345</v>
      </c>
      <c r="CC17">
        <v>2.8369144114889648</v>
      </c>
      <c r="CX17" t="s">
        <v>200</v>
      </c>
      <c r="CY17">
        <v>539</v>
      </c>
      <c r="CZ17" t="s">
        <v>117</v>
      </c>
      <c r="DA17" t="s">
        <v>176</v>
      </c>
      <c r="DB17" t="s">
        <v>160</v>
      </c>
      <c r="DC17" t="s">
        <v>161</v>
      </c>
      <c r="DD17" t="s">
        <v>162</v>
      </c>
    </row>
    <row r="18" spans="1:108" x14ac:dyDescent="0.35">
      <c r="A18" t="s">
        <v>203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3.6952394365412791</v>
      </c>
      <c r="M18">
        <v>3.6439141785468379</v>
      </c>
      <c r="N18">
        <v>3.5693017149856585</v>
      </c>
      <c r="O18">
        <v>3.6766800932930863</v>
      </c>
      <c r="P18">
        <v>3.5663545857152807</v>
      </c>
      <c r="Q18">
        <v>3.7414772370715847</v>
      </c>
      <c r="R18">
        <v>3.628547236595804</v>
      </c>
      <c r="S18">
        <v>3.7594660704782519</v>
      </c>
      <c r="T18">
        <v>3.6848131821464492</v>
      </c>
      <c r="U18">
        <v>3.7567022328081561</v>
      </c>
      <c r="V18">
        <v>3.7331489288576312</v>
      </c>
      <c r="W18">
        <v>3.657982006074072</v>
      </c>
      <c r="X18">
        <v>3.746426648368971</v>
      </c>
      <c r="Y18">
        <v>3.743625157151206</v>
      </c>
      <c r="Z18">
        <v>3.7126253051095439</v>
      </c>
      <c r="AA18">
        <v>3.6568148080886802</v>
      </c>
      <c r="AB18">
        <v>3.7947303045920209</v>
      </c>
      <c r="AC18">
        <v>3.5183983913330024</v>
      </c>
      <c r="AD18">
        <v>3.7299767494113869</v>
      </c>
      <c r="AE18">
        <v>3.7955157540840689</v>
      </c>
      <c r="AF18">
        <v>3.7643413502364398</v>
      </c>
      <c r="AG18">
        <v>3.7540434581901456</v>
      </c>
      <c r="AH18">
        <v>3.6937281822975279</v>
      </c>
      <c r="AI18">
        <v>3.7304257805504175</v>
      </c>
      <c r="AJ18">
        <v>3.7562353517429794</v>
      </c>
      <c r="AK18">
        <v>3.710873992336321</v>
      </c>
      <c r="AL18">
        <v>3.7672298562949198</v>
      </c>
      <c r="AM18">
        <v>3.7396213553112818</v>
      </c>
      <c r="AN18">
        <v>3.7035526053945911</v>
      </c>
      <c r="AO18">
        <v>3.6834011477584769</v>
      </c>
      <c r="AP18">
        <v>3.767306126834574</v>
      </c>
      <c r="AQ18">
        <v>3.731869696095786</v>
      </c>
      <c r="AR18">
        <v>3.7806250346844799</v>
      </c>
      <c r="AS18">
        <v>3.7267611240055167</v>
      </c>
      <c r="AT18">
        <v>3.6777187508110072</v>
      </c>
      <c r="AU18">
        <v>3.7295120455282351</v>
      </c>
      <c r="AV18">
        <v>3.7052809050410209</v>
      </c>
      <c r="AW18">
        <v>3.7261981869470433</v>
      </c>
      <c r="AX18">
        <v>3.7749926682380273</v>
      </c>
      <c r="AY18">
        <v>3.7202744847946509</v>
      </c>
      <c r="AZ18">
        <v>3.7451025210316522</v>
      </c>
      <c r="BA18">
        <v>3.759153991333565</v>
      </c>
      <c r="BB18">
        <v>3.7627856277599214</v>
      </c>
      <c r="BC18">
        <v>3.7544054019284769</v>
      </c>
      <c r="BD18">
        <v>3.779463572331319</v>
      </c>
      <c r="BE18">
        <v>3.7798238111613154</v>
      </c>
      <c r="BF18">
        <v>3.7268269334041983</v>
      </c>
      <c r="BG18">
        <v>3.7374666183776335</v>
      </c>
      <c r="BH18">
        <v>3.7315721144363327</v>
      </c>
      <c r="BI18">
        <v>3.7526974447999839</v>
      </c>
      <c r="BJ18">
        <v>3.7363204492768016</v>
      </c>
      <c r="BK18">
        <v>3.7223730637840329</v>
      </c>
      <c r="BL18">
        <v>3.765943661169616</v>
      </c>
      <c r="BM18">
        <v>3.7416221687369977</v>
      </c>
      <c r="BN18">
        <v>3.742227454798583</v>
      </c>
      <c r="BO18">
        <v>3.7585169588071512</v>
      </c>
      <c r="BP18">
        <v>3.7470773775914381</v>
      </c>
      <c r="BQ18">
        <v>3.7591168535825759</v>
      </c>
      <c r="BR18">
        <v>3.7170613203935479</v>
      </c>
      <c r="BS18">
        <v>3.7310523093382071</v>
      </c>
      <c r="CX18" t="s">
        <v>204</v>
      </c>
      <c r="CY18">
        <v>546</v>
      </c>
      <c r="CZ18" t="s">
        <v>117</v>
      </c>
      <c r="DA18" t="s">
        <v>205</v>
      </c>
      <c r="DB18" t="s">
        <v>160</v>
      </c>
      <c r="DC18" t="s">
        <v>161</v>
      </c>
      <c r="DD18" t="s">
        <v>162</v>
      </c>
    </row>
    <row r="19" spans="1:108" x14ac:dyDescent="0.35">
      <c r="A19" t="s">
        <v>206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3.8396028756873286</v>
      </c>
      <c r="M19">
        <v>3.9275520083103399</v>
      </c>
      <c r="N19">
        <v>3.934508413761399</v>
      </c>
      <c r="O19">
        <v>3.9423755902981608</v>
      </c>
      <c r="P19">
        <v>3.861341783744165</v>
      </c>
      <c r="Q19">
        <v>3.8566011370620967</v>
      </c>
      <c r="R19">
        <v>3.9448893372590712</v>
      </c>
      <c r="S19">
        <v>3.969683704100972</v>
      </c>
      <c r="T19">
        <v>3.9433905472754112</v>
      </c>
      <c r="U19">
        <v>3.9404140175576061</v>
      </c>
      <c r="V19">
        <v>4.0013880843812091</v>
      </c>
      <c r="W19">
        <v>3.9826274307462048</v>
      </c>
      <c r="X19">
        <v>3.8523330066674322</v>
      </c>
      <c r="Y19">
        <v>4.0344336280759734</v>
      </c>
      <c r="Z19">
        <v>4.1092730332243814</v>
      </c>
      <c r="AA19">
        <v>3.9109413961712169</v>
      </c>
      <c r="AB19">
        <v>4.0112235283872817</v>
      </c>
      <c r="AC19">
        <v>3.9494985362745618</v>
      </c>
      <c r="AD19">
        <v>3.9909888236814548</v>
      </c>
      <c r="AE19">
        <v>3.9805845216679758</v>
      </c>
      <c r="AF19">
        <v>4.0343427995981198</v>
      </c>
      <c r="AG19">
        <v>3.980289626346543</v>
      </c>
      <c r="AH19">
        <v>3.9975910380325215</v>
      </c>
      <c r="AI19">
        <v>3.9821390625682471</v>
      </c>
      <c r="AJ19">
        <v>4.0484051659257272</v>
      </c>
      <c r="AK19">
        <v>4.0461574806688345</v>
      </c>
      <c r="AL19">
        <v>3.9682051309599808</v>
      </c>
      <c r="AM19">
        <v>3.9847072937523711</v>
      </c>
      <c r="AN19">
        <v>3.9762921583140103</v>
      </c>
      <c r="AO19">
        <v>4.0386356154245799</v>
      </c>
      <c r="AP19">
        <v>4.0111892922329666</v>
      </c>
      <c r="AQ19">
        <v>4.0136801404452473</v>
      </c>
      <c r="AR19">
        <v>4.060874389405182</v>
      </c>
      <c r="AS19">
        <v>3.9913099064217832</v>
      </c>
      <c r="AT19">
        <v>4.0356068245558445</v>
      </c>
      <c r="AU19">
        <v>4.0528288925673399</v>
      </c>
      <c r="AV19">
        <v>3.9834106191381591</v>
      </c>
      <c r="AW19">
        <v>4.0369959296351547</v>
      </c>
      <c r="AX19">
        <v>4.0422737149796237</v>
      </c>
      <c r="AY19">
        <v>4.0217492306845992</v>
      </c>
      <c r="AZ19">
        <v>4.0018101046425487</v>
      </c>
      <c r="BA19">
        <v>4.0362310808169219</v>
      </c>
      <c r="BB19">
        <v>4.0174585928330862</v>
      </c>
      <c r="BC19">
        <v>4.0298170267115543</v>
      </c>
      <c r="BD19">
        <v>4.0111297762243661</v>
      </c>
      <c r="BE19">
        <v>4.0056010300552805</v>
      </c>
      <c r="BF19">
        <v>4.0193825048820973</v>
      </c>
      <c r="BG19">
        <v>4.0103218282358304</v>
      </c>
      <c r="BH19">
        <v>4.0157628060218098</v>
      </c>
      <c r="BI19">
        <v>3.9780579054659535</v>
      </c>
      <c r="BJ19">
        <v>4.024870747935072</v>
      </c>
      <c r="BK19">
        <v>4.0255758030838455</v>
      </c>
      <c r="BL19">
        <v>4.0197905843593311</v>
      </c>
      <c r="BM19">
        <v>4.0040611363195895</v>
      </c>
      <c r="BN19">
        <v>4.0334194909720154</v>
      </c>
      <c r="BO19">
        <v>4.0119537703085282</v>
      </c>
      <c r="BP19">
        <v>4.027974036240618</v>
      </c>
      <c r="BQ19">
        <v>3.986359690110362</v>
      </c>
      <c r="BR19">
        <v>4.0179353403876323</v>
      </c>
      <c r="BS19">
        <v>4.0281383021280099</v>
      </c>
      <c r="BT19">
        <v>4.0396944890313629</v>
      </c>
      <c r="BU19">
        <v>4.0193174520927322</v>
      </c>
      <c r="BV19">
        <v>4.0341335331490971</v>
      </c>
      <c r="BW19">
        <v>4.0129453198948939</v>
      </c>
      <c r="BX19">
        <v>4.0117096738112874</v>
      </c>
      <c r="BY19">
        <v>4.0276034895469879</v>
      </c>
      <c r="BZ19">
        <v>4.0235331810768056</v>
      </c>
      <c r="CA19">
        <v>4.031098265181944</v>
      </c>
      <c r="CB19">
        <v>4.02193862113013</v>
      </c>
      <c r="CC19">
        <v>4.0226971203676323</v>
      </c>
      <c r="CD19">
        <v>4.0233661048991598</v>
      </c>
      <c r="CE19">
        <v>4.0226059209054332</v>
      </c>
      <c r="CF19">
        <v>4.0228841910877851</v>
      </c>
      <c r="CG19">
        <v>4.0157487091739723</v>
      </c>
      <c r="CH19">
        <v>4.0245849798860887</v>
      </c>
      <c r="CI19">
        <v>4.022697056203401</v>
      </c>
      <c r="CJ19">
        <v>4.0294284263210756</v>
      </c>
      <c r="CK19">
        <v>4.0319850987715613</v>
      </c>
      <c r="CL19">
        <v>4.0259673545206303</v>
      </c>
      <c r="CM19">
        <v>4.0244376972961478</v>
      </c>
      <c r="CX19" t="s">
        <v>207</v>
      </c>
      <c r="CY19">
        <v>547</v>
      </c>
      <c r="CZ19" t="s">
        <v>110</v>
      </c>
      <c r="DA19" t="s">
        <v>205</v>
      </c>
      <c r="DB19" t="s">
        <v>160</v>
      </c>
      <c r="DC19" t="s">
        <v>161</v>
      </c>
      <c r="DD19" t="s">
        <v>169</v>
      </c>
    </row>
    <row r="20" spans="1:108" x14ac:dyDescent="0.35">
      <c r="A20" t="s">
        <v>208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3.2226809376634038</v>
      </c>
      <c r="M20">
        <v>3.2815213401516723</v>
      </c>
      <c r="N20">
        <v>3.2399611629178282</v>
      </c>
      <c r="O20">
        <v>3.1669868009039197</v>
      </c>
      <c r="P20">
        <v>3.1900778395218081</v>
      </c>
      <c r="Q20">
        <v>3.1777453380341005</v>
      </c>
      <c r="R20">
        <v>3.0993117041145051</v>
      </c>
      <c r="S20">
        <v>3.19466311019506</v>
      </c>
      <c r="T20">
        <v>3.2110761084586361</v>
      </c>
      <c r="U20">
        <v>3.2103925237580961</v>
      </c>
      <c r="V20">
        <v>3.1529735349416042</v>
      </c>
      <c r="W20">
        <v>3.2548081722226079</v>
      </c>
      <c r="X20">
        <v>3.1867619096793884</v>
      </c>
      <c r="Y20">
        <v>3.1647041782157328</v>
      </c>
      <c r="Z20">
        <v>3.2145842946023722</v>
      </c>
      <c r="AA20">
        <v>3.2108603892186931</v>
      </c>
      <c r="AB20">
        <v>3.197641334336204</v>
      </c>
      <c r="AC20">
        <v>3.1641421239861955</v>
      </c>
      <c r="AD20">
        <v>3.2380433420542656</v>
      </c>
      <c r="AE20">
        <v>3.2398255231696709</v>
      </c>
      <c r="AF20">
        <v>3.2289570831535963</v>
      </c>
      <c r="AG20">
        <v>3.2361002194613162</v>
      </c>
      <c r="AH20">
        <v>3.2426982761418719</v>
      </c>
      <c r="AI20">
        <v>3.2419308121202683</v>
      </c>
      <c r="AJ20">
        <v>3.2317968406900239</v>
      </c>
      <c r="AK20">
        <v>3.1813733908074013</v>
      </c>
      <c r="AL20">
        <v>3.2412605683837667</v>
      </c>
      <c r="AM20">
        <v>3.1360997618470341</v>
      </c>
      <c r="AN20">
        <v>3.2476092618120624</v>
      </c>
      <c r="AO20">
        <v>3.1389332208737906</v>
      </c>
      <c r="AP20">
        <v>3.2121921905503243</v>
      </c>
      <c r="AQ20">
        <v>3.1867092362605969</v>
      </c>
      <c r="AR20">
        <v>3.2155789652890894</v>
      </c>
      <c r="AS20">
        <v>3.1811039659689881</v>
      </c>
      <c r="AT20">
        <v>3.1818393818591097</v>
      </c>
      <c r="AU20">
        <v>3.1593765428487002</v>
      </c>
      <c r="AV20">
        <v>3.2401678853502509</v>
      </c>
      <c r="AW20">
        <v>3.1987799281264828</v>
      </c>
      <c r="AX20">
        <v>3.2167172370032491</v>
      </c>
      <c r="AY20">
        <v>3.2288930368167588</v>
      </c>
      <c r="AZ20">
        <v>3.2415036426212085</v>
      </c>
      <c r="BA20">
        <v>3.2126531628453758</v>
      </c>
      <c r="BB20">
        <v>3.2570357670206929</v>
      </c>
      <c r="BC20">
        <v>3.2245770315405324</v>
      </c>
      <c r="BD20">
        <v>3.2035061713927488</v>
      </c>
      <c r="BE20">
        <v>3.2328999892698205</v>
      </c>
      <c r="BF20">
        <v>3.2250424475640549</v>
      </c>
      <c r="BG20">
        <v>3.2051063500246539</v>
      </c>
      <c r="BH20">
        <v>3.2164219750618885</v>
      </c>
      <c r="BI20">
        <v>3.2572698515643448</v>
      </c>
      <c r="BJ20">
        <v>3.216390460621477</v>
      </c>
      <c r="BK20">
        <v>3.2086352733694881</v>
      </c>
      <c r="BL20">
        <v>3.2173466271039608</v>
      </c>
      <c r="BM20">
        <v>3.2351161930491537</v>
      </c>
      <c r="BN20">
        <v>3.2319851307025491</v>
      </c>
      <c r="BO20">
        <v>3.2446173538421483</v>
      </c>
      <c r="BP20">
        <v>3.233856229603985</v>
      </c>
      <c r="BQ20">
        <v>3.2394056466486534</v>
      </c>
      <c r="BR20">
        <v>3.2152157023071304</v>
      </c>
      <c r="BS20">
        <v>3.2267096025290152</v>
      </c>
      <c r="BT20">
        <v>3.2327504838545451</v>
      </c>
      <c r="BU20">
        <v>3.226635120259556</v>
      </c>
      <c r="BV20">
        <v>3.2083273490805926</v>
      </c>
      <c r="BW20">
        <v>3.2179224986358959</v>
      </c>
      <c r="BX20">
        <v>3.2214167582597439</v>
      </c>
      <c r="BY20">
        <v>3.2253733772714246</v>
      </c>
      <c r="BZ20">
        <v>3.2066027723322539</v>
      </c>
      <c r="CA20">
        <v>3.2162092588805726</v>
      </c>
      <c r="CB20">
        <v>3.2163895448734712</v>
      </c>
      <c r="CC20">
        <v>3.2284988097130469</v>
      </c>
      <c r="CX20" t="s">
        <v>209</v>
      </c>
      <c r="CY20">
        <v>546</v>
      </c>
      <c r="CZ20" t="s">
        <v>117</v>
      </c>
      <c r="DA20" t="s">
        <v>205</v>
      </c>
      <c r="DB20" t="s">
        <v>160</v>
      </c>
      <c r="DC20" t="s">
        <v>161</v>
      </c>
      <c r="DD20" t="s">
        <v>162</v>
      </c>
    </row>
    <row r="21" spans="1:108" x14ac:dyDescent="0.35">
      <c r="A21" t="s">
        <v>210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3.4522128900547067</v>
      </c>
      <c r="M21">
        <v>3.4596872871407425</v>
      </c>
      <c r="N21">
        <v>3.4068041722032358</v>
      </c>
      <c r="O21">
        <v>3.515588828450563</v>
      </c>
      <c r="P21">
        <v>3.6007604137431115</v>
      </c>
      <c r="Q21">
        <v>3.4492152206772988</v>
      </c>
      <c r="R21">
        <v>3.4283145411154567</v>
      </c>
      <c r="S21">
        <v>3.5318178255765456</v>
      </c>
      <c r="T21">
        <v>3.5019652911504768</v>
      </c>
      <c r="U21">
        <v>3.492558444589918</v>
      </c>
      <c r="V21">
        <v>3.4380777463559742</v>
      </c>
      <c r="W21">
        <v>3.4874701572643358</v>
      </c>
      <c r="X21">
        <v>3.5405019149273373</v>
      </c>
      <c r="Y21">
        <v>3.5242620542251322</v>
      </c>
      <c r="Z21">
        <v>3.5340375715163903</v>
      </c>
      <c r="AA21">
        <v>3.4697565375704853</v>
      </c>
      <c r="AB21">
        <v>3.477181767400221</v>
      </c>
      <c r="AC21">
        <v>3.4524342572297733</v>
      </c>
      <c r="AD21">
        <v>3.5190354433220588</v>
      </c>
      <c r="AE21">
        <v>3.573446216487441</v>
      </c>
      <c r="AF21">
        <v>3.5259634580245449</v>
      </c>
      <c r="AG21">
        <v>3.5149556503049038</v>
      </c>
      <c r="AH21">
        <v>3.5232994919551701</v>
      </c>
      <c r="AI21">
        <v>3.5649539725422983</v>
      </c>
      <c r="AJ21">
        <v>3.4962274592223084</v>
      </c>
      <c r="AK21">
        <v>3.5699521894324451</v>
      </c>
      <c r="AL21">
        <v>3.5336471910849321</v>
      </c>
      <c r="AM21">
        <v>3.5219582304376642</v>
      </c>
      <c r="AN21">
        <v>3.5381507820787168</v>
      </c>
      <c r="AO21">
        <v>3.592604261925493</v>
      </c>
      <c r="AP21">
        <v>3.5387084431662861</v>
      </c>
      <c r="AQ21">
        <v>3.5384874089689813</v>
      </c>
      <c r="AR21">
        <v>3.5259148281255959</v>
      </c>
      <c r="AS21">
        <v>3.5307903970283991</v>
      </c>
      <c r="AT21">
        <v>3.5487441225179643</v>
      </c>
      <c r="AU21">
        <v>3.5452725596118912</v>
      </c>
      <c r="AV21">
        <v>3.5239384967256</v>
      </c>
      <c r="AW21">
        <v>3.5435438464297082</v>
      </c>
      <c r="AX21">
        <v>3.524898289961635</v>
      </c>
      <c r="AY21">
        <v>3.5158206503611256</v>
      </c>
      <c r="AZ21">
        <v>3.5657566703565848</v>
      </c>
      <c r="BA21">
        <v>3.5279587642098331</v>
      </c>
      <c r="BB21">
        <v>3.549916291907476</v>
      </c>
      <c r="BC21">
        <v>3.5208186899513776</v>
      </c>
      <c r="BD21">
        <v>3.5529864480243001</v>
      </c>
      <c r="BE21">
        <v>3.5616765155105825</v>
      </c>
      <c r="BF21">
        <v>3.5454963662203061</v>
      </c>
      <c r="BG21">
        <v>3.5570576189345062</v>
      </c>
      <c r="BH21">
        <v>3.5417842460024649</v>
      </c>
      <c r="BI21">
        <v>3.5413925632916667</v>
      </c>
      <c r="BJ21">
        <v>3.5409228584965837</v>
      </c>
      <c r="BK21">
        <v>3.5440984614822528</v>
      </c>
      <c r="BL21">
        <v>3.5376241054438213</v>
      </c>
      <c r="BM21">
        <v>3.568575502855964</v>
      </c>
      <c r="BN21">
        <v>3.5247639166730309</v>
      </c>
      <c r="BO21">
        <v>3.5065879263175224</v>
      </c>
      <c r="BP21">
        <v>3.5428856432723568</v>
      </c>
      <c r="BQ21">
        <v>3.5234840175049</v>
      </c>
      <c r="BR21">
        <v>3.555972303612513</v>
      </c>
      <c r="BS21">
        <v>3.5532699018060083</v>
      </c>
      <c r="BT21">
        <v>3.5393375001869112</v>
      </c>
      <c r="BU21">
        <v>3.5359484130169165</v>
      </c>
      <c r="BV21">
        <v>3.5418027212984438</v>
      </c>
      <c r="BW21">
        <v>3.5401742518725721</v>
      </c>
      <c r="BX21">
        <v>3.5371007859145265</v>
      </c>
      <c r="BY21">
        <v>3.5406120788810518</v>
      </c>
      <c r="BZ21">
        <v>3.534839696001117</v>
      </c>
      <c r="CA21">
        <v>3.5445233285622182</v>
      </c>
      <c r="CB21">
        <v>3.5415794912315768</v>
      </c>
      <c r="CC21">
        <v>3.5452868019155841</v>
      </c>
      <c r="CX21" t="s">
        <v>211</v>
      </c>
      <c r="CY21">
        <v>547</v>
      </c>
      <c r="CZ21" t="s">
        <v>110</v>
      </c>
      <c r="DA21" t="s">
        <v>205</v>
      </c>
      <c r="DB21" t="s">
        <v>160</v>
      </c>
      <c r="DC21" t="s">
        <v>161</v>
      </c>
      <c r="DD21" t="s">
        <v>169</v>
      </c>
    </row>
    <row r="22" spans="1:108" x14ac:dyDescent="0.35">
      <c r="A22" t="s">
        <v>212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3.3316960982853265</v>
      </c>
      <c r="M22">
        <v>3.4313248302506651</v>
      </c>
      <c r="N22">
        <v>3.4582903359345702</v>
      </c>
      <c r="O22">
        <v>3.4330985909926119</v>
      </c>
      <c r="P22">
        <v>3.4152895453397618</v>
      </c>
      <c r="Q22">
        <v>3.4064284128620401</v>
      </c>
      <c r="R22">
        <v>3.3702890332967952</v>
      </c>
      <c r="S22">
        <v>3.5133424133914839</v>
      </c>
      <c r="T22">
        <v>3.4651461396924947</v>
      </c>
      <c r="U22">
        <v>3.4182364269352585</v>
      </c>
      <c r="V22">
        <v>3.4438535490016609</v>
      </c>
      <c r="W22">
        <v>3.3900202381321147</v>
      </c>
      <c r="X22">
        <v>3.4180800727420282</v>
      </c>
      <c r="Y22">
        <v>3.5076268643004922</v>
      </c>
      <c r="Z22">
        <v>3.4719986529785176</v>
      </c>
      <c r="AA22">
        <v>3.4400209598040616</v>
      </c>
      <c r="AB22">
        <v>3.4156695998516517</v>
      </c>
      <c r="AC22">
        <v>3.5368824325883428</v>
      </c>
      <c r="AD22">
        <v>3.4582142114824772</v>
      </c>
      <c r="AE22">
        <v>3.5119767166190341</v>
      </c>
      <c r="AF22">
        <v>3.5228182150103668</v>
      </c>
      <c r="AG22">
        <v>3.4781522812400056</v>
      </c>
      <c r="AH22">
        <v>3.456788702921576</v>
      </c>
      <c r="AI22">
        <v>3.467494642471979</v>
      </c>
      <c r="AJ22">
        <v>3.4787927518271382</v>
      </c>
      <c r="AK22">
        <v>3.4795913583895146</v>
      </c>
      <c r="AL22">
        <v>3.4753927979541408</v>
      </c>
      <c r="AM22">
        <v>3.4649333191269802</v>
      </c>
      <c r="AN22">
        <v>3.4725286406170071</v>
      </c>
      <c r="AO22">
        <v>3.4171579094652915</v>
      </c>
      <c r="AP22">
        <v>3.4433105963604738</v>
      </c>
      <c r="AQ22">
        <v>3.4405932916510911</v>
      </c>
      <c r="AR22">
        <v>3.4325779385804123</v>
      </c>
      <c r="AS22">
        <v>3.46099424649148</v>
      </c>
      <c r="AT22">
        <v>3.4375696397711639</v>
      </c>
      <c r="AU22">
        <v>3.4995698887647881</v>
      </c>
      <c r="AV22">
        <v>3.4331582049104261</v>
      </c>
      <c r="AW22">
        <v>3.476768321191094</v>
      </c>
      <c r="AX22">
        <v>3.4575193573781045</v>
      </c>
      <c r="AY22">
        <v>3.4628815888274147</v>
      </c>
      <c r="AZ22">
        <v>3.4454751814905329</v>
      </c>
      <c r="BA22">
        <v>3.4560337149748266</v>
      </c>
      <c r="BB22">
        <v>3.4795258424068649</v>
      </c>
      <c r="BC22">
        <v>3.501734822487212</v>
      </c>
      <c r="BD22">
        <v>3.479286558447841</v>
      </c>
      <c r="BE22">
        <v>3.4902006164785315</v>
      </c>
      <c r="BF22">
        <v>3.5092663721244834</v>
      </c>
      <c r="BG22">
        <v>3.4579543659878933</v>
      </c>
      <c r="BH22">
        <v>3.4562809758769504</v>
      </c>
      <c r="BI22">
        <v>3.4556466072403964</v>
      </c>
      <c r="BJ22">
        <v>3.460357414082416</v>
      </c>
      <c r="BK22">
        <v>3.4763104218252359</v>
      </c>
      <c r="BL22">
        <v>3.4842574393134562</v>
      </c>
      <c r="BM22">
        <v>3.4715828836292983</v>
      </c>
      <c r="BN22">
        <v>3.4843515935835341</v>
      </c>
      <c r="BO22">
        <v>3.4561480217638638</v>
      </c>
      <c r="BP22">
        <v>3.4705632247697831</v>
      </c>
      <c r="BQ22">
        <v>3.4849629272263778</v>
      </c>
      <c r="BR22">
        <v>3.465575889359469</v>
      </c>
      <c r="BS22">
        <v>3.4362986368557351</v>
      </c>
      <c r="BT22">
        <v>3.4695325007723574</v>
      </c>
      <c r="BU22">
        <v>3.4934704035803694</v>
      </c>
      <c r="BV22">
        <v>3.4777603929564842</v>
      </c>
      <c r="BW22">
        <v>3.4624239244476218</v>
      </c>
      <c r="BX22">
        <v>3.4483859497460778</v>
      </c>
      <c r="BY22">
        <v>3.453144534282294</v>
      </c>
      <c r="BZ22">
        <v>3.4661911490948167</v>
      </c>
      <c r="CA22">
        <v>3.4759172359930863</v>
      </c>
      <c r="CB22">
        <v>3.515243107198712</v>
      </c>
      <c r="CC22">
        <v>3.4577737899053456</v>
      </c>
      <c r="CD22">
        <v>3.4861785360382287</v>
      </c>
      <c r="CE22">
        <v>3.4694737278537291</v>
      </c>
      <c r="CF22">
        <v>3.4599145357221284</v>
      </c>
      <c r="CG22">
        <v>3.4686891155309763</v>
      </c>
      <c r="CH22">
        <v>3.47683825776486</v>
      </c>
      <c r="CI22">
        <v>3.4715163712297508</v>
      </c>
      <c r="CJ22">
        <v>3.4561188411628039</v>
      </c>
      <c r="CK22">
        <v>3.4858603743438321</v>
      </c>
      <c r="CL22">
        <v>3.456843477222816</v>
      </c>
      <c r="CM22">
        <v>3.4820772468156798</v>
      </c>
      <c r="CN22">
        <v>3.4796896540415112</v>
      </c>
      <c r="CO22">
        <v>3.4696229620293839</v>
      </c>
      <c r="CP22">
        <v>3.4747748860872663</v>
      </c>
      <c r="CQ22">
        <v>3.4660426294671058</v>
      </c>
      <c r="CR22">
        <v>3.4644661897012066</v>
      </c>
      <c r="CS22">
        <v>3.475230263859924</v>
      </c>
      <c r="CT22">
        <v>3.4692213921124142</v>
      </c>
      <c r="CU22">
        <v>3.4643284322070955</v>
      </c>
      <c r="CV22">
        <v>3.4690494249848318</v>
      </c>
      <c r="CW22">
        <v>3.4727381982714962</v>
      </c>
      <c r="CX22" t="s">
        <v>213</v>
      </c>
      <c r="CY22">
        <v>546</v>
      </c>
      <c r="CZ22" t="s">
        <v>117</v>
      </c>
      <c r="DA22" t="s">
        <v>205</v>
      </c>
      <c r="DB22" t="s">
        <v>160</v>
      </c>
      <c r="DC22" t="s">
        <v>161</v>
      </c>
      <c r="DD22" t="s">
        <v>162</v>
      </c>
    </row>
    <row r="23" spans="1:108" x14ac:dyDescent="0.35">
      <c r="A23" t="s">
        <v>214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3.9984336698663379</v>
      </c>
      <c r="M23">
        <v>4.1370105729246909</v>
      </c>
      <c r="N23">
        <v>4.0986175949816896</v>
      </c>
      <c r="O23">
        <v>4.0864249590249146</v>
      </c>
      <c r="P23">
        <v>4.0560849405807406</v>
      </c>
      <c r="Q23">
        <v>3.9364841056898743</v>
      </c>
      <c r="R23">
        <v>4.0624149384479269</v>
      </c>
      <c r="S23">
        <v>3.9855025699869779</v>
      </c>
      <c r="T23">
        <v>3.9984095292711559</v>
      </c>
      <c r="U23">
        <v>4.1117431703860587</v>
      </c>
      <c r="V23">
        <v>4.1351153468543043</v>
      </c>
      <c r="W23">
        <v>4.1336377317022563</v>
      </c>
      <c r="X23">
        <v>4.0680273559789093</v>
      </c>
      <c r="Y23">
        <v>4.1494344031916626</v>
      </c>
      <c r="Z23">
        <v>4.062706032547462</v>
      </c>
      <c r="AA23">
        <v>4.0750134375156719</v>
      </c>
      <c r="AB23">
        <v>4.082540100637158</v>
      </c>
      <c r="AC23">
        <v>4.1757079162242077</v>
      </c>
      <c r="AD23">
        <v>4.1303018270712126</v>
      </c>
      <c r="AE23">
        <v>4.1557227404513961</v>
      </c>
      <c r="AF23">
        <v>4.1127662966060754</v>
      </c>
      <c r="AG23">
        <v>4.1153253304951729</v>
      </c>
      <c r="AH23">
        <v>4.1319091099390812</v>
      </c>
      <c r="AI23">
        <v>4.1287780757928916</v>
      </c>
      <c r="AJ23">
        <v>4.1204602346826364</v>
      </c>
      <c r="AK23">
        <v>4.0870940635449431</v>
      </c>
      <c r="AL23">
        <v>4.1371129698821099</v>
      </c>
      <c r="AM23">
        <v>4.0231557075461399</v>
      </c>
      <c r="AN23">
        <v>4.1290697384134809</v>
      </c>
      <c r="AO23">
        <v>4.1176856100171149</v>
      </c>
      <c r="AP23">
        <v>4.1558947278976044</v>
      </c>
      <c r="AQ23">
        <v>4.1186479194760217</v>
      </c>
      <c r="AR23">
        <v>4.1808295104755029</v>
      </c>
      <c r="AS23">
        <v>4.1414364442259641</v>
      </c>
      <c r="AT23">
        <v>4.1048724302284816</v>
      </c>
      <c r="AU23">
        <v>4.1097650781292634</v>
      </c>
      <c r="AV23">
        <v>4.1451335973882015</v>
      </c>
      <c r="AW23">
        <v>4.1195155824205427</v>
      </c>
      <c r="AX23">
        <v>4.1063024316771166</v>
      </c>
      <c r="AY23">
        <v>4.0856053827093977</v>
      </c>
      <c r="AZ23">
        <v>4.1517038906734109</v>
      </c>
      <c r="BA23">
        <v>4.1660848503227896</v>
      </c>
      <c r="BB23">
        <v>4.1228766831627501</v>
      </c>
      <c r="BC23">
        <v>4.1276401779119736</v>
      </c>
      <c r="BD23">
        <v>4.1311170497136551</v>
      </c>
      <c r="BE23">
        <v>4.153665370502992</v>
      </c>
      <c r="BF23">
        <v>4.1380645700741496</v>
      </c>
      <c r="BG23">
        <v>4.1341228695419696</v>
      </c>
      <c r="BH23">
        <v>4.1193685767266404</v>
      </c>
      <c r="BI23">
        <v>4.1563345580768951</v>
      </c>
      <c r="BJ23">
        <v>4.1166175168144319</v>
      </c>
      <c r="BK23">
        <v>4.0850811646033218</v>
      </c>
      <c r="BL23">
        <v>4.0798371995167937</v>
      </c>
      <c r="BM23">
        <v>4.0905898143664485</v>
      </c>
      <c r="BN23">
        <v>4.1432792534327172</v>
      </c>
      <c r="BO23">
        <v>4.1188352783659443</v>
      </c>
      <c r="BP23">
        <v>4.1022555860977219</v>
      </c>
      <c r="BQ23">
        <v>4.1223583826479411</v>
      </c>
      <c r="BR23">
        <v>4.1367543417132815</v>
      </c>
      <c r="BS23">
        <v>4.1325288756646712</v>
      </c>
      <c r="BT23">
        <v>4.1526363103175052</v>
      </c>
      <c r="BU23">
        <v>4.1260086875564763</v>
      </c>
      <c r="BV23">
        <v>4.1478197976478981</v>
      </c>
      <c r="BW23">
        <v>4.1378431970151901</v>
      </c>
      <c r="BX23">
        <v>4.1063075590382194</v>
      </c>
      <c r="BY23">
        <v>4.1431793734252764</v>
      </c>
      <c r="BZ23">
        <v>4.1435401347559218</v>
      </c>
      <c r="CA23">
        <v>4.1330184760120474</v>
      </c>
      <c r="CB23">
        <v>4.1512114696658298</v>
      </c>
      <c r="CC23">
        <v>4.1256869200787909</v>
      </c>
      <c r="CD23">
        <v>4.1287542154036343</v>
      </c>
      <c r="CE23">
        <v>4.127445215944447</v>
      </c>
      <c r="CF23">
        <v>4.1381871498780773</v>
      </c>
      <c r="CG23">
        <v>4.1203718177815798</v>
      </c>
      <c r="CH23">
        <v>4.1296430375680231</v>
      </c>
      <c r="CI23">
        <v>4.1234522953117123</v>
      </c>
      <c r="CJ23">
        <v>4.1401653060194388</v>
      </c>
      <c r="CK23">
        <v>4.1370011582829038</v>
      </c>
      <c r="CL23">
        <v>4.1262475955128286</v>
      </c>
      <c r="CM23">
        <v>4.1493090343531627</v>
      </c>
      <c r="CN23">
        <v>4.1313739028166756</v>
      </c>
      <c r="CO23">
        <v>4.1338728783735146</v>
      </c>
      <c r="CP23">
        <v>4.128694348113914</v>
      </c>
      <c r="CQ23">
        <v>4.1330390374300379</v>
      </c>
      <c r="CR23">
        <v>4.1300621876731576</v>
      </c>
      <c r="CS23">
        <v>4.133768930916756</v>
      </c>
      <c r="CT23">
        <v>4.127668830166165</v>
      </c>
      <c r="CU23">
        <v>4.1331992303727878</v>
      </c>
      <c r="CV23">
        <v>4.132038847606271</v>
      </c>
      <c r="CW23">
        <v>4.1293875260498618</v>
      </c>
      <c r="CX23" t="s">
        <v>215</v>
      </c>
      <c r="CY23">
        <v>546</v>
      </c>
      <c r="CZ23" t="s">
        <v>117</v>
      </c>
      <c r="DA23" t="s">
        <v>205</v>
      </c>
      <c r="DB23" t="s">
        <v>160</v>
      </c>
      <c r="DC23" t="s">
        <v>161</v>
      </c>
      <c r="DD23" t="s">
        <v>162</v>
      </c>
    </row>
    <row r="24" spans="1:108" x14ac:dyDescent="0.35">
      <c r="A24" t="s">
        <v>216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3.6541884274122567</v>
      </c>
      <c r="M24">
        <v>3.5906343244412784</v>
      </c>
      <c r="N24">
        <v>3.7386458070011495</v>
      </c>
      <c r="O24">
        <v>3.6857580670945009</v>
      </c>
      <c r="P24">
        <v>3.85750543424852</v>
      </c>
      <c r="Q24">
        <v>3.7165061375456321</v>
      </c>
      <c r="R24">
        <v>3.696505531332253</v>
      </c>
      <c r="S24">
        <v>3.6868973446322371</v>
      </c>
      <c r="T24">
        <v>3.7118556830047971</v>
      </c>
      <c r="U24">
        <v>3.7485283913651681</v>
      </c>
      <c r="V24">
        <v>3.7570659504052788</v>
      </c>
      <c r="W24">
        <v>3.7562384390218688</v>
      </c>
      <c r="X24">
        <v>3.6801456826099175</v>
      </c>
      <c r="Y24">
        <v>3.7313595481474571</v>
      </c>
      <c r="Z24">
        <v>3.714652148809412</v>
      </c>
      <c r="AA24">
        <v>3.7214797654422527</v>
      </c>
      <c r="AB24">
        <v>3.7020156679763736</v>
      </c>
      <c r="AC24">
        <v>3.7428261831495031</v>
      </c>
      <c r="AD24">
        <v>3.760489197683242</v>
      </c>
      <c r="AE24">
        <v>3.6784693057934361</v>
      </c>
      <c r="AF24">
        <v>3.729248689849487</v>
      </c>
      <c r="AG24">
        <v>3.7923726908299527</v>
      </c>
      <c r="AH24">
        <v>3.732803997004067</v>
      </c>
      <c r="AI24">
        <v>3.7648860182059769</v>
      </c>
      <c r="AJ24">
        <v>3.7131165510399073</v>
      </c>
      <c r="AK24">
        <v>3.7403580924265816</v>
      </c>
      <c r="AL24">
        <v>3.7343542483349998</v>
      </c>
      <c r="AM24">
        <v>3.8034365662979481</v>
      </c>
      <c r="AN24">
        <v>3.7212717308473136</v>
      </c>
      <c r="AO24">
        <v>3.729618336112948</v>
      </c>
      <c r="AP24">
        <v>3.7586968891394559</v>
      </c>
      <c r="AQ24">
        <v>3.722325372971711</v>
      </c>
      <c r="AR24">
        <v>3.727212860315932</v>
      </c>
      <c r="AS24">
        <v>3.7418144494476269</v>
      </c>
      <c r="AT24">
        <v>3.7172418295619511</v>
      </c>
      <c r="AU24">
        <v>3.7539070320827839</v>
      </c>
      <c r="AV24">
        <v>3.757259615677957</v>
      </c>
      <c r="AW24">
        <v>3.736632509538937</v>
      </c>
      <c r="AX24">
        <v>3.7193643242667336</v>
      </c>
      <c r="AY24">
        <v>3.7232603729217502</v>
      </c>
      <c r="AZ24">
        <v>3.7393617325602242</v>
      </c>
      <c r="BA24">
        <v>3.7433913771555849</v>
      </c>
      <c r="BB24">
        <v>3.7376427548988089</v>
      </c>
      <c r="BC24">
        <v>3.7159958844830978</v>
      </c>
      <c r="BD24">
        <v>3.7915018880930096</v>
      </c>
      <c r="BE24">
        <v>3.7528772301108666</v>
      </c>
      <c r="BF24">
        <v>3.7454179043824558</v>
      </c>
      <c r="BG24">
        <v>3.7500981225242329</v>
      </c>
      <c r="BH24">
        <v>3.7448335934977339</v>
      </c>
      <c r="BI24">
        <v>3.7363208957057785</v>
      </c>
      <c r="BJ24">
        <v>3.7421706500126528</v>
      </c>
      <c r="BK24">
        <v>3.7368702655148791</v>
      </c>
      <c r="BL24">
        <v>3.7525542747473439</v>
      </c>
      <c r="BM24">
        <v>3.7356589403351239</v>
      </c>
      <c r="BN24">
        <v>3.7431625010652314</v>
      </c>
      <c r="BO24">
        <v>3.7507881321140695</v>
      </c>
      <c r="BP24">
        <v>3.7852406618292238</v>
      </c>
      <c r="BQ24">
        <v>3.7785452807827249</v>
      </c>
      <c r="BR24">
        <v>3.7595643286082407</v>
      </c>
      <c r="BS24">
        <v>3.7645940882002011</v>
      </c>
      <c r="BT24">
        <v>3.7556304901176158</v>
      </c>
      <c r="BU24">
        <v>3.7649393828506641</v>
      </c>
      <c r="BV24">
        <v>3.7659212170066629</v>
      </c>
      <c r="BW24">
        <v>3.7270293358770639</v>
      </c>
      <c r="BX24">
        <v>3.7763630932549273</v>
      </c>
      <c r="BY24">
        <v>3.757489506576861</v>
      </c>
      <c r="BZ24">
        <v>3.741081816586195</v>
      </c>
      <c r="CA24">
        <v>3.731259071906682</v>
      </c>
      <c r="CB24">
        <v>3.7629338967826151</v>
      </c>
      <c r="CC24">
        <v>3.7369028554403534</v>
      </c>
      <c r="CD24">
        <v>3.7613927115527268</v>
      </c>
      <c r="CE24">
        <v>3.7573326234337379</v>
      </c>
      <c r="CF24">
        <v>3.7513911507129216</v>
      </c>
      <c r="CG24">
        <v>3.7478141387355199</v>
      </c>
      <c r="CH24">
        <v>3.754154390099862</v>
      </c>
      <c r="CI24">
        <v>3.7449082437653041</v>
      </c>
      <c r="CJ24">
        <v>3.7448815573144021</v>
      </c>
      <c r="CK24">
        <v>3.7491680946394959</v>
      </c>
      <c r="CL24">
        <v>3.7430569595486927</v>
      </c>
      <c r="CM24">
        <v>3.7549695764261943</v>
      </c>
      <c r="CX24" t="s">
        <v>217</v>
      </c>
      <c r="CY24">
        <v>547</v>
      </c>
      <c r="CZ24" t="s">
        <v>110</v>
      </c>
      <c r="DA24" t="s">
        <v>205</v>
      </c>
      <c r="DB24" t="s">
        <v>160</v>
      </c>
      <c r="DC24" t="s">
        <v>161</v>
      </c>
      <c r="DD24" t="s">
        <v>169</v>
      </c>
    </row>
    <row r="25" spans="1:108" x14ac:dyDescent="0.35">
      <c r="A25" t="s">
        <v>218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3.9940538673450416</v>
      </c>
      <c r="M25">
        <v>4.0823188894427478</v>
      </c>
      <c r="N25">
        <v>3.8701430650009101</v>
      </c>
      <c r="O25">
        <v>4.0640927914628522</v>
      </c>
      <c r="P25">
        <v>3.9193274474071047</v>
      </c>
      <c r="Q25">
        <v>4.0749093720551697</v>
      </c>
      <c r="R25">
        <v>4.1059192181144564</v>
      </c>
      <c r="S25">
        <v>4.0102058585532534</v>
      </c>
      <c r="T25">
        <v>4.0287520244772015</v>
      </c>
      <c r="U25">
        <v>3.9980392199217394</v>
      </c>
      <c r="V25">
        <v>4.0802182539002398</v>
      </c>
      <c r="W25">
        <v>4.0256338771871967</v>
      </c>
      <c r="X25">
        <v>3.9847011735536055</v>
      </c>
      <c r="Y25">
        <v>4.1004154745549721</v>
      </c>
      <c r="Z25">
        <v>4.0428486388713445</v>
      </c>
      <c r="AA25">
        <v>4.0736649189656209</v>
      </c>
      <c r="AB25">
        <v>4.0455490727056311</v>
      </c>
      <c r="AC25">
        <v>4.0340863725208234</v>
      </c>
      <c r="AD25">
        <v>4.0659115482842925</v>
      </c>
      <c r="AE25">
        <v>4.0751976713862117</v>
      </c>
      <c r="AF25">
        <v>4.074975572919354</v>
      </c>
      <c r="AG25">
        <v>4.059212168020391</v>
      </c>
      <c r="AH25">
        <v>4.0525569714218488</v>
      </c>
      <c r="AI25">
        <v>4.0451443538024492</v>
      </c>
      <c r="AJ25">
        <v>4.0594944621273514</v>
      </c>
      <c r="AK25">
        <v>4.0336671023061248</v>
      </c>
      <c r="AL25">
        <v>4.0362358544953043</v>
      </c>
      <c r="AM25">
        <v>4.0359867491266597</v>
      </c>
      <c r="AN25">
        <v>4.0299697192530912</v>
      </c>
      <c r="AO25">
        <v>4.0158527596942255</v>
      </c>
      <c r="AP25">
        <v>4.1102942113050629</v>
      </c>
      <c r="AQ25">
        <v>4.0466459680236575</v>
      </c>
      <c r="AR25">
        <v>4.0550256944298004</v>
      </c>
      <c r="AS25">
        <v>4.0112367820548886</v>
      </c>
      <c r="AT25">
        <v>4.0623050780106773</v>
      </c>
      <c r="AU25">
        <v>4.052866568760904</v>
      </c>
      <c r="AV25">
        <v>4.0697380955842881</v>
      </c>
      <c r="AW25">
        <v>4.01331214431515</v>
      </c>
      <c r="AX25">
        <v>4.0382111573749038</v>
      </c>
      <c r="AY25">
        <v>4.0545168536747775</v>
      </c>
      <c r="AZ25">
        <v>4.0365028230365594</v>
      </c>
      <c r="BA25">
        <v>4.0648147184827064</v>
      </c>
      <c r="BB25">
        <v>4.0192159927300901</v>
      </c>
      <c r="BC25">
        <v>4.0440962618111742</v>
      </c>
      <c r="BD25">
        <v>4.0901289172996549</v>
      </c>
      <c r="BE25">
        <v>4.0504362805103602</v>
      </c>
      <c r="BF25">
        <v>4.042983655560727</v>
      </c>
      <c r="BG25">
        <v>4.0327932179938673</v>
      </c>
      <c r="BH25">
        <v>4.0523985377698963</v>
      </c>
      <c r="BI25">
        <v>4.078374363702796</v>
      </c>
      <c r="BJ25">
        <v>4.0616982345838064</v>
      </c>
      <c r="BK25">
        <v>4.0590539930716574</v>
      </c>
      <c r="BL25">
        <v>4.0483076161147684</v>
      </c>
      <c r="BM25">
        <v>4.0720846268901241</v>
      </c>
      <c r="BN25">
        <v>4.0535074707787819</v>
      </c>
      <c r="BO25">
        <v>4.051647589367473</v>
      </c>
      <c r="BP25">
        <v>4.1042216130328466</v>
      </c>
      <c r="BQ25">
        <v>4.0654564801094626</v>
      </c>
      <c r="BR25">
        <v>4.1034472823528176</v>
      </c>
      <c r="BS25">
        <v>4.047655583968556</v>
      </c>
      <c r="BT25">
        <v>4.074475054762603</v>
      </c>
      <c r="BU25">
        <v>4.0822246550159411</v>
      </c>
      <c r="BV25">
        <v>4.0872811209491422</v>
      </c>
      <c r="BW25">
        <v>4.0662405479403629</v>
      </c>
      <c r="BX25">
        <v>4.0616208185938909</v>
      </c>
      <c r="BY25">
        <v>4.0829664253640559</v>
      </c>
      <c r="BZ25">
        <v>4.0668761891339766</v>
      </c>
      <c r="CA25">
        <v>4.0608576033423462</v>
      </c>
      <c r="CB25">
        <v>4.0522154371337296</v>
      </c>
      <c r="CC25">
        <v>4.0693412251350933</v>
      </c>
      <c r="CD25">
        <v>4.0642049229256383</v>
      </c>
      <c r="CE25">
        <v>4.0509218776261013</v>
      </c>
      <c r="CF25">
        <v>4.0744436181439463</v>
      </c>
      <c r="CG25">
        <v>4.0791558648242763</v>
      </c>
      <c r="CH25">
        <v>4.0683123868284445</v>
      </c>
      <c r="CI25">
        <v>4.0780070104112207</v>
      </c>
      <c r="CJ25">
        <v>4.0695694329650394</v>
      </c>
      <c r="CK25">
        <v>4.075894833021362</v>
      </c>
      <c r="CL25">
        <v>4.0633597500619212</v>
      </c>
      <c r="CM25">
        <v>4.0685650841916416</v>
      </c>
      <c r="CX25" t="s">
        <v>219</v>
      </c>
      <c r="CY25">
        <v>547</v>
      </c>
      <c r="CZ25" t="s">
        <v>110</v>
      </c>
      <c r="DA25" t="s">
        <v>205</v>
      </c>
      <c r="DB25" t="s">
        <v>160</v>
      </c>
      <c r="DC25" t="s">
        <v>161</v>
      </c>
      <c r="DD25" t="s">
        <v>169</v>
      </c>
    </row>
    <row r="26" spans="1:108" x14ac:dyDescent="0.35">
      <c r="A26" t="s">
        <v>108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3.5066374517113577</v>
      </c>
      <c r="M26">
        <v>3.3846098978227448</v>
      </c>
      <c r="N26">
        <v>3.4063319949070281</v>
      </c>
      <c r="O26">
        <v>3.333434496957318</v>
      </c>
      <c r="P26">
        <v>3.3039054222044264</v>
      </c>
      <c r="Q26">
        <v>3.286093940653922</v>
      </c>
      <c r="R26">
        <v>3.3530481426487611</v>
      </c>
      <c r="S26">
        <v>3.3435907402213214</v>
      </c>
      <c r="T26">
        <v>3.359510044498538</v>
      </c>
      <c r="U26">
        <v>3.3983697528636099</v>
      </c>
      <c r="V26">
        <v>3.4009035728268424</v>
      </c>
      <c r="W26">
        <v>3.3797769654741932</v>
      </c>
      <c r="X26">
        <v>3.4256426314641089</v>
      </c>
      <c r="Y26">
        <v>3.4074630283546239</v>
      </c>
      <c r="Z26">
        <v>3.4024671568920848</v>
      </c>
      <c r="AA26">
        <v>3.3351547709011857</v>
      </c>
      <c r="AB26">
        <v>3.4054971536083349</v>
      </c>
      <c r="AC26">
        <v>3.381742109286924</v>
      </c>
      <c r="AD26">
        <v>3.413502125423129</v>
      </c>
      <c r="AE26">
        <v>3.4251025363336192</v>
      </c>
      <c r="AF26">
        <v>3.3981189030555945</v>
      </c>
      <c r="AG26">
        <v>3.3875089926778021</v>
      </c>
      <c r="AH26">
        <v>3.4079815757106129</v>
      </c>
      <c r="AI26">
        <v>3.3773641277577364</v>
      </c>
      <c r="AJ26">
        <v>3.4346640702132163</v>
      </c>
      <c r="AK26">
        <v>3.4232068354677789</v>
      </c>
      <c r="AL26">
        <v>3.4317254957448395</v>
      </c>
      <c r="AM26">
        <v>3.3993389710620492</v>
      </c>
      <c r="AN26">
        <v>3.4458292866215792</v>
      </c>
      <c r="AO26">
        <v>3.4414611031506497</v>
      </c>
      <c r="AP26">
        <v>3.4127002264359381</v>
      </c>
      <c r="AQ26">
        <v>3.4280648900968003</v>
      </c>
      <c r="AR26">
        <v>3.4038347614418427</v>
      </c>
      <c r="AS26">
        <v>3.4046305823453822</v>
      </c>
      <c r="AT26">
        <v>3.4128405129795025</v>
      </c>
      <c r="AU26">
        <v>3.4138072339314123</v>
      </c>
      <c r="AV26">
        <v>3.4200507704952541</v>
      </c>
      <c r="AW26">
        <v>3.4370515177211023</v>
      </c>
      <c r="AX26">
        <v>3.4096731817626691</v>
      </c>
      <c r="AY26">
        <v>3.4130408259656959</v>
      </c>
      <c r="CX26" t="s">
        <v>109</v>
      </c>
      <c r="CY26">
        <v>457</v>
      </c>
      <c r="CZ26" t="s">
        <v>110</v>
      </c>
      <c r="DA26" t="s">
        <v>111</v>
      </c>
      <c r="DB26" t="s">
        <v>112</v>
      </c>
      <c r="DC26" t="s">
        <v>113</v>
      </c>
      <c r="DD26" t="s">
        <v>114</v>
      </c>
    </row>
    <row r="27" spans="1:108" x14ac:dyDescent="0.35">
      <c r="A27" t="s">
        <v>115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3.7199270792953678</v>
      </c>
      <c r="M27">
        <v>3.8040274665633169</v>
      </c>
      <c r="N27">
        <v>3.8574244830641282</v>
      </c>
      <c r="O27">
        <v>3.8851090940121482</v>
      </c>
      <c r="P27">
        <v>3.7664775176466194</v>
      </c>
      <c r="Q27">
        <v>3.8485209733881049</v>
      </c>
      <c r="R27">
        <v>3.953466965316788</v>
      </c>
      <c r="S27">
        <v>3.8821525628642579</v>
      </c>
      <c r="T27">
        <v>3.7892185984217481</v>
      </c>
      <c r="U27">
        <v>3.842808884372944</v>
      </c>
      <c r="V27">
        <v>3.861104163707191</v>
      </c>
      <c r="W27">
        <v>3.932364999561194</v>
      </c>
      <c r="X27">
        <v>3.7533223874796846</v>
      </c>
      <c r="Y27">
        <v>3.8586090487724491</v>
      </c>
      <c r="Z27">
        <v>3.8131551978525162</v>
      </c>
      <c r="AA27">
        <v>3.8789988065969569</v>
      </c>
      <c r="AB27">
        <v>3.808126384797808</v>
      </c>
      <c r="AC27">
        <v>3.8516366681443022</v>
      </c>
      <c r="AD27">
        <v>3.837727216737802</v>
      </c>
      <c r="AE27">
        <v>3.8883278306553706</v>
      </c>
      <c r="AF27">
        <v>3.8762058187286992</v>
      </c>
      <c r="AG27">
        <v>3.843651091149217</v>
      </c>
      <c r="AH27">
        <v>3.9193532807384952</v>
      </c>
      <c r="AI27">
        <v>3.863978838883682</v>
      </c>
      <c r="AJ27">
        <v>3.838636590325613</v>
      </c>
      <c r="AK27">
        <v>3.925507283177295</v>
      </c>
      <c r="AL27">
        <v>3.8666824498437999</v>
      </c>
      <c r="AM27">
        <v>3.881607743333495</v>
      </c>
      <c r="AN27">
        <v>3.9184105274472061</v>
      </c>
      <c r="AO27">
        <v>3.8955353194309761</v>
      </c>
      <c r="AP27">
        <v>3.867056719928633</v>
      </c>
      <c r="AQ27">
        <v>3.8797742461788838</v>
      </c>
      <c r="AR27">
        <v>3.8488751043804328</v>
      </c>
      <c r="AS27">
        <v>3.8621481463438849</v>
      </c>
      <c r="AT27">
        <v>3.8927681858847194</v>
      </c>
      <c r="AU27">
        <v>3.9084763454338409</v>
      </c>
      <c r="AV27">
        <v>3.8875085301399772</v>
      </c>
      <c r="AW27">
        <v>3.8556822427026369</v>
      </c>
      <c r="AX27">
        <v>3.8569053085436793</v>
      </c>
      <c r="AY27">
        <v>3.9105997130215879</v>
      </c>
      <c r="AZ27">
        <v>3.8698171371176406</v>
      </c>
      <c r="BA27">
        <v>3.8665723399254168</v>
      </c>
      <c r="BB27">
        <v>3.871049201487053</v>
      </c>
      <c r="BC27">
        <v>3.8714283652618682</v>
      </c>
      <c r="BD27">
        <v>3.8917200721751048</v>
      </c>
      <c r="BE27">
        <v>3.8725604713451145</v>
      </c>
      <c r="BF27">
        <v>3.8934215285375937</v>
      </c>
      <c r="BG27">
        <v>3.8582024081761626</v>
      </c>
      <c r="BH27">
        <v>3.8726147014109329</v>
      </c>
      <c r="BI27">
        <v>3.8497156373875292</v>
      </c>
      <c r="BJ27">
        <v>3.867265344429609</v>
      </c>
      <c r="BK27">
        <v>3.868384423201483</v>
      </c>
      <c r="BL27">
        <v>3.8855101287541038</v>
      </c>
      <c r="BM27">
        <v>3.8845703600518871</v>
      </c>
      <c r="BN27">
        <v>3.8570725097306648</v>
      </c>
      <c r="BO27">
        <v>3.8901643944171949</v>
      </c>
      <c r="BP27">
        <v>3.8736655256821857</v>
      </c>
      <c r="BQ27">
        <v>3.8875703771455439</v>
      </c>
      <c r="BR27">
        <v>3.8728900690511119</v>
      </c>
      <c r="BS27">
        <v>3.883114626094387</v>
      </c>
      <c r="BT27">
        <v>3.8734435866741119</v>
      </c>
      <c r="BU27">
        <v>3.8687153320721031</v>
      </c>
      <c r="BV27">
        <v>3.8681161701775055</v>
      </c>
      <c r="BW27">
        <v>3.8719817479720868</v>
      </c>
      <c r="BX27">
        <v>3.8702402422978408</v>
      </c>
      <c r="BY27">
        <v>3.886243652879243</v>
      </c>
      <c r="BZ27">
        <v>3.8893827768540579</v>
      </c>
      <c r="CA27">
        <v>3.8789304855688895</v>
      </c>
      <c r="CB27">
        <v>3.8703213202468736</v>
      </c>
      <c r="CC27">
        <v>3.8808735123604192</v>
      </c>
      <c r="CX27" t="s">
        <v>116</v>
      </c>
      <c r="CY27">
        <v>456</v>
      </c>
      <c r="CZ27" t="s">
        <v>117</v>
      </c>
      <c r="DA27" t="s">
        <v>111</v>
      </c>
      <c r="DB27" t="s">
        <v>112</v>
      </c>
      <c r="DC27" t="s">
        <v>113</v>
      </c>
      <c r="DD27" t="s">
        <v>118</v>
      </c>
    </row>
    <row r="28" spans="1:108" x14ac:dyDescent="0.35">
      <c r="A28" t="s">
        <v>119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4.2700813395624362</v>
      </c>
      <c r="M28">
        <v>4.120214805214709</v>
      </c>
      <c r="N28">
        <v>4.0928425387634837</v>
      </c>
      <c r="O28">
        <v>4.1648371667062358</v>
      </c>
      <c r="P28">
        <v>4.0169024944848006</v>
      </c>
      <c r="Q28">
        <v>4.0606480661892732</v>
      </c>
      <c r="R28">
        <v>4.0615291103548836</v>
      </c>
      <c r="S28">
        <v>4.122048629903758</v>
      </c>
      <c r="T28">
        <v>4.0543021913941661</v>
      </c>
      <c r="U28">
        <v>4.0795521741221821</v>
      </c>
      <c r="V28">
        <v>4.1198747462452898</v>
      </c>
      <c r="W28">
        <v>4.1372991701321737</v>
      </c>
      <c r="X28">
        <v>4.0413974811626581</v>
      </c>
      <c r="Y28">
        <v>4.0521273938124907</v>
      </c>
      <c r="Z28">
        <v>4.1213210040135468</v>
      </c>
      <c r="AA28">
        <v>4.0676657621238004</v>
      </c>
      <c r="AB28">
        <v>4.0808764114473455</v>
      </c>
      <c r="AC28">
        <v>4.0607917267449816</v>
      </c>
      <c r="AD28">
        <v>4.1315110966439876</v>
      </c>
      <c r="AE28">
        <v>4.1481878190148684</v>
      </c>
      <c r="AF28">
        <v>4.138845852446595</v>
      </c>
      <c r="AG28">
        <v>4.1402067205663418</v>
      </c>
      <c r="AH28">
        <v>4.1079757826200369</v>
      </c>
      <c r="AI28">
        <v>4.1001418736616415</v>
      </c>
      <c r="AJ28">
        <v>4.0799380398110543</v>
      </c>
      <c r="AK28">
        <v>4.1073746982522303</v>
      </c>
      <c r="AL28">
        <v>4.1542038521869014</v>
      </c>
      <c r="AM28">
        <v>4.1062960562833908</v>
      </c>
      <c r="AN28">
        <v>4.1185223784015941</v>
      </c>
      <c r="AO28">
        <v>4.1342300837244039</v>
      </c>
      <c r="AP28">
        <v>4.1477688315814314</v>
      </c>
      <c r="AQ28">
        <v>4.1278693321875837</v>
      </c>
      <c r="AR28">
        <v>4.1155485916824404</v>
      </c>
      <c r="AS28">
        <v>4.149415977471997</v>
      </c>
      <c r="AT28">
        <v>4.1129039066477047</v>
      </c>
      <c r="AU28">
        <v>4.1420524674333352</v>
      </c>
      <c r="AV28">
        <v>4.1272497742824914</v>
      </c>
      <c r="AW28">
        <v>4.1143982943725135</v>
      </c>
      <c r="AX28">
        <v>4.1445592625058723</v>
      </c>
      <c r="AY28">
        <v>4.1179033756857786</v>
      </c>
      <c r="AZ28">
        <v>4.1009976375398658</v>
      </c>
      <c r="BA28">
        <v>4.0989992478420394</v>
      </c>
      <c r="BB28">
        <v>4.1293650418025551</v>
      </c>
      <c r="BC28">
        <v>4.1267874111167648</v>
      </c>
      <c r="BD28">
        <v>4.1269823119703348</v>
      </c>
      <c r="BE28">
        <v>4.1113417159377743</v>
      </c>
      <c r="BF28">
        <v>4.1420277568435262</v>
      </c>
      <c r="BG28">
        <v>4.1171321455035894</v>
      </c>
      <c r="BH28">
        <v>4.1187870426173552</v>
      </c>
      <c r="BI28">
        <v>4.1286886607277884</v>
      </c>
      <c r="BJ28">
        <v>4.1246501621944383</v>
      </c>
      <c r="BK28">
        <v>4.1257207517440113</v>
      </c>
      <c r="BL28">
        <v>4.1178228946581434</v>
      </c>
      <c r="BM28">
        <v>4.1345493300013416</v>
      </c>
      <c r="BN28">
        <v>4.1422339019332828</v>
      </c>
      <c r="BO28">
        <v>4.1325812001252027</v>
      </c>
      <c r="BP28">
        <v>4.1369940746781531</v>
      </c>
      <c r="BQ28">
        <v>4.1098444116467174</v>
      </c>
      <c r="BR28">
        <v>4.1338017203424764</v>
      </c>
      <c r="BS28">
        <v>4.1062861803010584</v>
      </c>
      <c r="BT28">
        <v>4.1315118829515596</v>
      </c>
      <c r="BU28">
        <v>4.1301144200945981</v>
      </c>
      <c r="BV28">
        <v>4.1396183569285485</v>
      </c>
      <c r="BW28">
        <v>4.1670578573348527</v>
      </c>
      <c r="BX28">
        <v>4.1286945584710208</v>
      </c>
      <c r="BY28">
        <v>4.135897647511837</v>
      </c>
      <c r="BZ28">
        <v>4.1335503520405874</v>
      </c>
      <c r="CA28">
        <v>4.1515302699875587</v>
      </c>
      <c r="CB28">
        <v>4.1190149262024889</v>
      </c>
      <c r="CC28">
        <v>4.1351741252908667</v>
      </c>
      <c r="CD28">
        <v>4.135851597168398</v>
      </c>
      <c r="CE28">
        <v>4.1305082289252262</v>
      </c>
      <c r="CF28">
        <v>4.1359222599741949</v>
      </c>
      <c r="CG28">
        <v>4.1254743924672486</v>
      </c>
      <c r="CH28">
        <v>4.1365907364442149</v>
      </c>
      <c r="CI28">
        <v>4.1351191245972831</v>
      </c>
      <c r="CJ28">
        <v>4.1339770336977049</v>
      </c>
      <c r="CK28">
        <v>4.1188286620722492</v>
      </c>
      <c r="CL28">
        <v>4.1248176128422323</v>
      </c>
      <c r="CM28">
        <v>4.1364844233228721</v>
      </c>
      <c r="CX28" t="s">
        <v>120</v>
      </c>
      <c r="CY28">
        <v>435</v>
      </c>
      <c r="CZ28" t="s">
        <v>117</v>
      </c>
      <c r="DA28" t="s">
        <v>121</v>
      </c>
      <c r="DB28" t="s">
        <v>112</v>
      </c>
      <c r="DC28" t="s">
        <v>113</v>
      </c>
      <c r="DD28" t="s">
        <v>118</v>
      </c>
    </row>
    <row r="29" spans="1:108" x14ac:dyDescent="0.35">
      <c r="A29" t="s">
        <v>122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4.395014507328769</v>
      </c>
      <c r="M29">
        <v>4.3829695854710513</v>
      </c>
      <c r="N29">
        <v>4.3167339087661842</v>
      </c>
      <c r="O29">
        <v>4.3552637188182404</v>
      </c>
      <c r="P29">
        <v>4.3573192655034516</v>
      </c>
      <c r="Q29">
        <v>4.3215328032865283</v>
      </c>
      <c r="R29">
        <v>4.3597149808226821</v>
      </c>
      <c r="S29">
        <v>4.3005924377699047</v>
      </c>
      <c r="T29">
        <v>4.3490714577907958</v>
      </c>
      <c r="U29">
        <v>4.3541370707623539</v>
      </c>
      <c r="V29">
        <v>4.3188192417789883</v>
      </c>
      <c r="W29">
        <v>4.3865758500495904</v>
      </c>
      <c r="X29">
        <v>4.4010462715836001</v>
      </c>
      <c r="Y29">
        <v>4.3521895990865556</v>
      </c>
      <c r="Z29">
        <v>4.3980152237001455</v>
      </c>
      <c r="AA29">
        <v>4.3353854446153939</v>
      </c>
      <c r="AB29">
        <v>4.3342654194419366</v>
      </c>
      <c r="AC29">
        <v>4.3158205726395922</v>
      </c>
      <c r="AD29">
        <v>4.4112354105903844</v>
      </c>
      <c r="AE29">
        <v>4.3608532711268548</v>
      </c>
      <c r="AF29">
        <v>4.4326140283527122</v>
      </c>
      <c r="AG29">
        <v>4.3845530589350643</v>
      </c>
      <c r="AH29">
        <v>4.356767436563568</v>
      </c>
      <c r="AI29">
        <v>4.3294697846898584</v>
      </c>
      <c r="AJ29">
        <v>4.3819732790657682</v>
      </c>
      <c r="AK29">
        <v>4.400078186436529</v>
      </c>
      <c r="AL29">
        <v>4.348869311908687</v>
      </c>
      <c r="AM29">
        <v>4.4140903004921537</v>
      </c>
      <c r="AN29">
        <v>4.3804345051443514</v>
      </c>
      <c r="AO29">
        <v>4.3682450353613804</v>
      </c>
      <c r="AP29">
        <v>4.3554543171048152</v>
      </c>
      <c r="AQ29">
        <v>4.368057998860019</v>
      </c>
      <c r="AR29">
        <v>4.4082513927445008</v>
      </c>
      <c r="AS29">
        <v>4.3538345431471956</v>
      </c>
      <c r="AT29">
        <v>4.3731523506760874</v>
      </c>
      <c r="AU29">
        <v>4.4059447203073576</v>
      </c>
      <c r="AV29">
        <v>4.3951419212801044</v>
      </c>
      <c r="AW29">
        <v>4.3899277616291128</v>
      </c>
      <c r="AX29">
        <v>4.3963307708679409</v>
      </c>
      <c r="AY29">
        <v>4.4064006208895794</v>
      </c>
      <c r="AZ29">
        <v>4.3972903435089137</v>
      </c>
      <c r="BA29">
        <v>4.3691530244971322</v>
      </c>
      <c r="BB29">
        <v>4.3747785662241991</v>
      </c>
      <c r="BC29">
        <v>4.4021794680932045</v>
      </c>
      <c r="BD29">
        <v>4.3926291617027307</v>
      </c>
      <c r="BE29">
        <v>4.3944977114534183</v>
      </c>
      <c r="BF29">
        <v>4.3544156377369871</v>
      </c>
      <c r="BG29">
        <v>4.3819079852984935</v>
      </c>
      <c r="BH29">
        <v>4.3758635973884639</v>
      </c>
      <c r="BI29">
        <v>4.4014054354780132</v>
      </c>
      <c r="BJ29">
        <v>4.3922384191959383</v>
      </c>
      <c r="BK29">
        <v>4.3702178301518684</v>
      </c>
      <c r="BL29">
        <v>4.3850642072090418</v>
      </c>
      <c r="BM29">
        <v>4.3770696826050095</v>
      </c>
      <c r="BN29">
        <v>4.3976446271002878</v>
      </c>
      <c r="BO29">
        <v>4.3845990998095461</v>
      </c>
      <c r="BP29">
        <v>4.3821192133527731</v>
      </c>
      <c r="BQ29">
        <v>4.3828078203989334</v>
      </c>
      <c r="BR29">
        <v>4.3713312637754838</v>
      </c>
      <c r="BS29">
        <v>4.3780837383164819</v>
      </c>
      <c r="BT29">
        <v>4.3887131750701016</v>
      </c>
      <c r="BU29">
        <v>4.3846293852893465</v>
      </c>
      <c r="BV29">
        <v>4.3856464598040255</v>
      </c>
      <c r="BW29">
        <v>4.3880913800394161</v>
      </c>
      <c r="BX29">
        <v>4.377916144913276</v>
      </c>
      <c r="BY29">
        <v>4.3800865921017191</v>
      </c>
      <c r="BZ29">
        <v>4.3978421518211803</v>
      </c>
      <c r="CA29">
        <v>4.3790282614478651</v>
      </c>
      <c r="CB29">
        <v>4.3819151256759978</v>
      </c>
      <c r="CC29">
        <v>4.3737923995517587</v>
      </c>
      <c r="CX29" t="s">
        <v>123</v>
      </c>
      <c r="CY29">
        <v>435</v>
      </c>
      <c r="CZ29" t="s">
        <v>117</v>
      </c>
      <c r="DA29" t="s">
        <v>121</v>
      </c>
      <c r="DB29" t="s">
        <v>112</v>
      </c>
      <c r="DC29" t="s">
        <v>113</v>
      </c>
      <c r="DD29" t="s">
        <v>118</v>
      </c>
    </row>
    <row r="30" spans="1:108" x14ac:dyDescent="0.35">
      <c r="A30" t="s">
        <v>124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4.2418309731355643</v>
      </c>
      <c r="M30">
        <v>4.1967330551993411</v>
      </c>
      <c r="N30">
        <v>4.3941485214599822</v>
      </c>
      <c r="O30">
        <v>4.3070778073735667</v>
      </c>
      <c r="P30">
        <v>4.3483527893452534</v>
      </c>
      <c r="Q30">
        <v>4.3060112961853845</v>
      </c>
      <c r="R30">
        <v>4.3329922385021593</v>
      </c>
      <c r="S30">
        <v>4.3003866812805764</v>
      </c>
      <c r="T30">
        <v>4.342440718289053</v>
      </c>
      <c r="U30">
        <v>4.3034721582104112</v>
      </c>
      <c r="V30">
        <v>4.2932738129525676</v>
      </c>
      <c r="W30">
        <v>4.301641555637044</v>
      </c>
      <c r="X30">
        <v>4.3172068871670959</v>
      </c>
      <c r="Y30">
        <v>4.2634562797436173</v>
      </c>
      <c r="Z30">
        <v>4.2702702442890272</v>
      </c>
      <c r="AA30">
        <v>4.2527708648349778</v>
      </c>
      <c r="AB30">
        <v>4.2714537684133305</v>
      </c>
      <c r="AC30">
        <v>4.317854849662484</v>
      </c>
      <c r="AD30">
        <v>4.2434208094377821</v>
      </c>
      <c r="AE30">
        <v>4.3218949891401364</v>
      </c>
      <c r="AF30">
        <v>4.3220609562979524</v>
      </c>
      <c r="AG30">
        <v>4.385912607077076</v>
      </c>
      <c r="AH30">
        <v>4.2367775791970796</v>
      </c>
      <c r="AI30">
        <v>4.372571554432966</v>
      </c>
      <c r="AJ30">
        <v>4.3381575151396357</v>
      </c>
      <c r="AK30">
        <v>4.3402939784877299</v>
      </c>
      <c r="AL30">
        <v>4.3704590919594652</v>
      </c>
      <c r="AM30">
        <v>4.3140188737071909</v>
      </c>
      <c r="AN30">
        <v>4.3494122882754329</v>
      </c>
      <c r="AO30">
        <v>4.3108750400241576</v>
      </c>
      <c r="AP30">
        <v>4.3152700671210402</v>
      </c>
      <c r="AQ30">
        <v>4.3412573516645763</v>
      </c>
      <c r="AR30">
        <v>4.3020269541004978</v>
      </c>
      <c r="AS30">
        <v>4.3377259139281783</v>
      </c>
      <c r="AT30">
        <v>4.3374328920134211</v>
      </c>
      <c r="AU30">
        <v>4.278919756222324</v>
      </c>
      <c r="AV30">
        <v>4.3178370661190169</v>
      </c>
      <c r="AW30">
        <v>4.2811367082940404</v>
      </c>
      <c r="AX30">
        <v>4.3343422165412893</v>
      </c>
      <c r="AY30">
        <v>4.3465777442635787</v>
      </c>
      <c r="AZ30">
        <v>4.3157741844616604</v>
      </c>
      <c r="BA30">
        <v>4.3326763147907972</v>
      </c>
      <c r="BB30">
        <v>4.3738950796312546</v>
      </c>
      <c r="BC30">
        <v>4.3598781995589553</v>
      </c>
      <c r="BD30">
        <v>4.3321954098090592</v>
      </c>
      <c r="BE30">
        <v>4.3022034567157244</v>
      </c>
      <c r="BF30">
        <v>4.3222763406537652</v>
      </c>
      <c r="BG30">
        <v>4.2960874454357807</v>
      </c>
      <c r="BH30">
        <v>4.3565169818184453</v>
      </c>
      <c r="BI30">
        <v>4.2946085422573681</v>
      </c>
      <c r="BJ30">
        <v>4.3289867240218811</v>
      </c>
      <c r="BK30">
        <v>4.3126803192535554</v>
      </c>
      <c r="BL30">
        <v>4.3236089901445434</v>
      </c>
      <c r="BM30">
        <v>4.2990218820167616</v>
      </c>
      <c r="BN30">
        <v>4.3222249012843781</v>
      </c>
      <c r="BO30">
        <v>4.3255047379127518</v>
      </c>
      <c r="BP30">
        <v>4.3314692132271784</v>
      </c>
      <c r="BQ30">
        <v>4.3348395225150655</v>
      </c>
      <c r="BR30">
        <v>4.3402315632544806</v>
      </c>
      <c r="BS30">
        <v>4.3187029557083019</v>
      </c>
      <c r="BT30">
        <v>4.3290486215101103</v>
      </c>
      <c r="BU30">
        <v>4.3222710221825169</v>
      </c>
      <c r="BV30">
        <v>4.3108064181019508</v>
      </c>
      <c r="BW30">
        <v>4.3238843502532758</v>
      </c>
      <c r="BX30">
        <v>4.3410251148524779</v>
      </c>
      <c r="BY30">
        <v>4.3345984669866109</v>
      </c>
      <c r="BZ30">
        <v>4.3252830214325106</v>
      </c>
      <c r="CA30">
        <v>4.2976805603289847</v>
      </c>
      <c r="CB30">
        <v>4.3193519679989807</v>
      </c>
      <c r="CC30">
        <v>4.3364649139260658</v>
      </c>
      <c r="CD30">
        <v>4.3394384258355068</v>
      </c>
      <c r="CE30">
        <v>4.3264323632164983</v>
      </c>
      <c r="CF30">
        <v>4.3280198892446986</v>
      </c>
      <c r="CG30">
        <v>4.3325387089200493</v>
      </c>
      <c r="CH30">
        <v>4.3216449078685688</v>
      </c>
      <c r="CI30">
        <v>4.3247293904829114</v>
      </c>
      <c r="CJ30">
        <v>4.3339172359367293</v>
      </c>
      <c r="CK30">
        <v>4.3286404910660883</v>
      </c>
      <c r="CL30">
        <v>4.3119473521401375</v>
      </c>
      <c r="CM30">
        <v>4.3363765799100831</v>
      </c>
      <c r="CX30" t="s">
        <v>125</v>
      </c>
      <c r="CY30">
        <v>437</v>
      </c>
      <c r="CZ30" t="s">
        <v>117</v>
      </c>
      <c r="DA30" t="s">
        <v>121</v>
      </c>
      <c r="DB30" t="s">
        <v>112</v>
      </c>
      <c r="DC30" t="s">
        <v>113</v>
      </c>
      <c r="DD30" t="s">
        <v>118</v>
      </c>
    </row>
    <row r="31" spans="1:108" x14ac:dyDescent="0.35">
      <c r="A31" t="s">
        <v>126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4.2782180249893784</v>
      </c>
      <c r="M31">
        <v>4.1963625531984139</v>
      </c>
      <c r="N31">
        <v>4.1460611190262089</v>
      </c>
      <c r="O31">
        <v>4.2239208932061247</v>
      </c>
      <c r="P31">
        <v>4.2524988064878002</v>
      </c>
      <c r="Q31">
        <v>4.2940255442219213</v>
      </c>
      <c r="R31">
        <v>4.3106120425297272</v>
      </c>
      <c r="S31">
        <v>4.272802578943641</v>
      </c>
      <c r="T31">
        <v>4.2166022983080058</v>
      </c>
      <c r="U31">
        <v>4.2083221218078073</v>
      </c>
      <c r="V31">
        <v>4.217976808903984</v>
      </c>
      <c r="W31">
        <v>4.2833955110179316</v>
      </c>
      <c r="X31">
        <v>4.2210632066715332</v>
      </c>
      <c r="Y31">
        <v>4.2354160721591461</v>
      </c>
      <c r="Z31">
        <v>4.2970052714522442</v>
      </c>
      <c r="AA31">
        <v>4.2692382152773334</v>
      </c>
      <c r="AB31">
        <v>4.2514096342036698</v>
      </c>
      <c r="AC31">
        <v>4.2780614222913496</v>
      </c>
      <c r="AD31">
        <v>4.2540151872708325</v>
      </c>
      <c r="AE31">
        <v>4.3095981685218927</v>
      </c>
      <c r="AF31">
        <v>4.2396378756047932</v>
      </c>
      <c r="AG31">
        <v>4.2711186680691693</v>
      </c>
      <c r="AH31">
        <v>4.3006615348167729</v>
      </c>
      <c r="AI31">
        <v>4.26358793819265</v>
      </c>
      <c r="AJ31">
        <v>4.2964882887607283</v>
      </c>
      <c r="AK31">
        <v>4.2942987637636953</v>
      </c>
      <c r="AL31">
        <v>4.2664124096234124</v>
      </c>
      <c r="AM31">
        <v>4.299863021552726</v>
      </c>
      <c r="AN31">
        <v>4.302122466442432</v>
      </c>
      <c r="AO31">
        <v>4.1828311885799119</v>
      </c>
      <c r="AP31">
        <v>4.3031253995228038</v>
      </c>
      <c r="AQ31">
        <v>4.2868284497309759</v>
      </c>
      <c r="AR31">
        <v>4.2945539383798064</v>
      </c>
      <c r="AS31">
        <v>4.281136902246252</v>
      </c>
      <c r="AT31">
        <v>4.264872495428091</v>
      </c>
      <c r="AU31">
        <v>4.2845888976212008</v>
      </c>
      <c r="AV31">
        <v>4.2438775110846327</v>
      </c>
      <c r="AW31">
        <v>4.2959209917867431</v>
      </c>
      <c r="AX31">
        <v>4.3176894501212093</v>
      </c>
      <c r="AY31">
        <v>4.2681635579103974</v>
      </c>
      <c r="AZ31">
        <v>4.3043409768017264</v>
      </c>
      <c r="BA31">
        <v>4.2958096247454023</v>
      </c>
      <c r="BB31">
        <v>4.2791838799661797</v>
      </c>
      <c r="BC31">
        <v>4.2823356858828383</v>
      </c>
      <c r="BD31">
        <v>4.2973149104738857</v>
      </c>
      <c r="BE31">
        <v>4.3008885346412313</v>
      </c>
      <c r="BF31">
        <v>4.2937314862646208</v>
      </c>
      <c r="BG31">
        <v>4.2761842199773765</v>
      </c>
      <c r="BH31">
        <v>4.2728032286611279</v>
      </c>
      <c r="BI31">
        <v>4.29541310392481</v>
      </c>
      <c r="BJ31">
        <v>4.2938210766174203</v>
      </c>
      <c r="BK31">
        <v>4.2887144261083359</v>
      </c>
      <c r="BL31">
        <v>4.2925124194936375</v>
      </c>
      <c r="BM31">
        <v>4.2806029786959838</v>
      </c>
      <c r="BN31">
        <v>4.2823436912571289</v>
      </c>
      <c r="BO31">
        <v>4.2833079769225542</v>
      </c>
      <c r="BP31">
        <v>4.2806753063930731</v>
      </c>
      <c r="BQ31">
        <v>4.2760824666274404</v>
      </c>
      <c r="BR31">
        <v>4.2876162771578414</v>
      </c>
      <c r="BS31">
        <v>4.2987853194185002</v>
      </c>
      <c r="BT31">
        <v>4.286402863474283</v>
      </c>
      <c r="BU31">
        <v>4.2900701247886381</v>
      </c>
      <c r="BV31">
        <v>4.2884929454140206</v>
      </c>
      <c r="BW31">
        <v>4.2904412677431125</v>
      </c>
      <c r="BX31">
        <v>4.2894866099765547</v>
      </c>
      <c r="BY31">
        <v>4.2895761658538394</v>
      </c>
      <c r="BZ31">
        <v>4.2876875437666779</v>
      </c>
      <c r="CA31">
        <v>4.288085599221926</v>
      </c>
      <c r="CB31">
        <v>4.2889989631322978</v>
      </c>
      <c r="CC31">
        <v>4.2884519126385969</v>
      </c>
      <c r="CX31" t="s">
        <v>127</v>
      </c>
      <c r="CY31">
        <v>435</v>
      </c>
      <c r="CZ31" t="s">
        <v>117</v>
      </c>
      <c r="DA31" t="s">
        <v>121</v>
      </c>
      <c r="DB31" t="s">
        <v>112</v>
      </c>
      <c r="DC31" t="s">
        <v>113</v>
      </c>
      <c r="DD31" t="s">
        <v>118</v>
      </c>
    </row>
    <row r="32" spans="1:108" x14ac:dyDescent="0.35">
      <c r="A32" t="s">
        <v>128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4.1550804691271583</v>
      </c>
      <c r="M32">
        <v>4.0010826920863156</v>
      </c>
      <c r="N32">
        <v>4.0392126509996524</v>
      </c>
      <c r="O32">
        <v>4.0804636492079736</v>
      </c>
      <c r="P32">
        <v>4.003366775589841</v>
      </c>
      <c r="Q32">
        <v>4.0486192080865608</v>
      </c>
      <c r="R32">
        <v>4.0203315895339813</v>
      </c>
      <c r="S32">
        <v>3.98528107100941</v>
      </c>
      <c r="T32">
        <v>4.0850726378452</v>
      </c>
      <c r="U32">
        <v>4.0142007803389061</v>
      </c>
      <c r="V32">
        <v>4.0603151236711224</v>
      </c>
      <c r="W32">
        <v>4.1005835740978469</v>
      </c>
      <c r="X32">
        <v>4.0705513295203426</v>
      </c>
      <c r="Y32">
        <v>4.0201618228258704</v>
      </c>
      <c r="Z32">
        <v>4.07310805725586</v>
      </c>
      <c r="AA32">
        <v>4.0284986417004758</v>
      </c>
      <c r="AB32">
        <v>4.0385424082033348</v>
      </c>
      <c r="AC32">
        <v>4.1034927965534154</v>
      </c>
      <c r="AD32">
        <v>4.0777613108793114</v>
      </c>
      <c r="AE32">
        <v>4.0624137278402044</v>
      </c>
      <c r="AF32">
        <v>4.0815591053056801</v>
      </c>
      <c r="AG32">
        <v>4.1137509540359707</v>
      </c>
      <c r="AH32">
        <v>4.1000531291110427</v>
      </c>
      <c r="AI32">
        <v>4.0814824890456185</v>
      </c>
      <c r="AJ32">
        <v>4.0953661974999775</v>
      </c>
      <c r="AK32">
        <v>4.0683568651971607</v>
      </c>
      <c r="AL32">
        <v>4.0931566858973953</v>
      </c>
      <c r="AM32">
        <v>4.070651039963713</v>
      </c>
      <c r="AN32">
        <v>4.0295303297135607</v>
      </c>
      <c r="AO32">
        <v>4.0823997424992511</v>
      </c>
      <c r="AP32">
        <v>4.0929513094651702</v>
      </c>
      <c r="AQ32">
        <v>4.0940095315129188</v>
      </c>
      <c r="AR32">
        <v>4.1367525755580132</v>
      </c>
      <c r="AS32">
        <v>4.0907095006955601</v>
      </c>
      <c r="AT32">
        <v>4.0687665382734561</v>
      </c>
      <c r="AU32">
        <v>4.0918049826117091</v>
      </c>
      <c r="AV32">
        <v>4.0723216825423298</v>
      </c>
      <c r="AW32">
        <v>4.0882607683922707</v>
      </c>
      <c r="AX32">
        <v>4.0883907866097511</v>
      </c>
      <c r="AY32">
        <v>4.095247998361029</v>
      </c>
      <c r="AZ32">
        <v>4.0744335422103859</v>
      </c>
      <c r="BA32">
        <v>4.1169897029602005</v>
      </c>
      <c r="BB32">
        <v>4.0824575985083653</v>
      </c>
      <c r="BC32">
        <v>4.1160662899116263</v>
      </c>
      <c r="BD32">
        <v>4.0939977261411258</v>
      </c>
      <c r="BE32">
        <v>4.1326374858252102</v>
      </c>
      <c r="BF32">
        <v>4.0785546869954832</v>
      </c>
      <c r="BG32">
        <v>4.1097667919729108</v>
      </c>
      <c r="BH32">
        <v>4.0732809753003494</v>
      </c>
      <c r="BI32">
        <v>4.0991165887065968</v>
      </c>
      <c r="BJ32">
        <v>4.0985458782279256</v>
      </c>
      <c r="BK32">
        <v>4.1149577169750327</v>
      </c>
      <c r="BL32">
        <v>4.1109986138626864</v>
      </c>
      <c r="BM32">
        <v>4.0910676041168745</v>
      </c>
      <c r="BN32">
        <v>4.1016894954135381</v>
      </c>
      <c r="BO32">
        <v>4.1059777994673956</v>
      </c>
      <c r="BP32">
        <v>4.0955814246701276</v>
      </c>
      <c r="BQ32">
        <v>4.0893376200896379</v>
      </c>
      <c r="BR32">
        <v>4.0999561387181114</v>
      </c>
      <c r="BS32">
        <v>4.0918033893944079</v>
      </c>
      <c r="BT32">
        <v>4.1022428562478552</v>
      </c>
      <c r="BU32">
        <v>4.1014633493927111</v>
      </c>
      <c r="BV32">
        <v>4.0994565125666815</v>
      </c>
      <c r="BW32">
        <v>4.1008733518838802</v>
      </c>
      <c r="BX32">
        <v>4.0996980315511422</v>
      </c>
      <c r="BY32">
        <v>4.1028655612733917</v>
      </c>
      <c r="BZ32">
        <v>4.0990381757753189</v>
      </c>
      <c r="CA32">
        <v>4.0970215523367335</v>
      </c>
      <c r="CB32">
        <v>4.1017916949427242</v>
      </c>
      <c r="CC32">
        <v>4.1014204896459017</v>
      </c>
      <c r="CX32" t="s">
        <v>129</v>
      </c>
      <c r="CY32">
        <v>437</v>
      </c>
      <c r="CZ32" t="s">
        <v>117</v>
      </c>
      <c r="DA32" t="s">
        <v>121</v>
      </c>
      <c r="DB32" t="s">
        <v>112</v>
      </c>
      <c r="DC32" t="s">
        <v>113</v>
      </c>
      <c r="DD32" t="s">
        <v>118</v>
      </c>
    </row>
    <row r="33" spans="1:108" x14ac:dyDescent="0.35">
      <c r="A33" t="s">
        <v>130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4.4141585630930287</v>
      </c>
      <c r="M33">
        <v>4.1827071948852357</v>
      </c>
      <c r="N33">
        <v>4.4108615434518628</v>
      </c>
      <c r="O33">
        <v>4.3443051533646386</v>
      </c>
      <c r="P33">
        <v>4.3337792052976729</v>
      </c>
      <c r="Q33">
        <v>4.3246039250355439</v>
      </c>
      <c r="R33">
        <v>4.3276241465589278</v>
      </c>
      <c r="S33">
        <v>4.2898398914307023</v>
      </c>
      <c r="T33">
        <v>4.3657616173606186</v>
      </c>
      <c r="U33">
        <v>4.3846076982011519</v>
      </c>
      <c r="V33">
        <v>4.4302004836673738</v>
      </c>
      <c r="W33">
        <v>4.4333018158028157</v>
      </c>
      <c r="X33">
        <v>4.3583818767321141</v>
      </c>
      <c r="Y33">
        <v>4.3711191120128889</v>
      </c>
      <c r="Z33">
        <v>4.3546120639557611</v>
      </c>
      <c r="AA33">
        <v>4.2539006609059031</v>
      </c>
      <c r="AB33">
        <v>4.3660136704303003</v>
      </c>
      <c r="AC33">
        <v>4.3487315975170047</v>
      </c>
      <c r="AD33">
        <v>4.40555471675615</v>
      </c>
      <c r="AE33">
        <v>4.4288244848080218</v>
      </c>
      <c r="AF33">
        <v>4.3681293094067248</v>
      </c>
      <c r="AG33">
        <v>4.3678893458404753</v>
      </c>
      <c r="AH33">
        <v>4.348387572126132</v>
      </c>
      <c r="AI33">
        <v>4.3669204181437236</v>
      </c>
      <c r="AJ33">
        <v>4.4092771260588552</v>
      </c>
      <c r="AK33">
        <v>4.4086031545302449</v>
      </c>
      <c r="AL33">
        <v>4.3430075091498797</v>
      </c>
      <c r="AM33">
        <v>4.334075647267885</v>
      </c>
      <c r="AN33">
        <v>4.3450536042506425</v>
      </c>
      <c r="AO33">
        <v>4.3580936378637558</v>
      </c>
      <c r="AP33">
        <v>4.3911701181176959</v>
      </c>
      <c r="AQ33">
        <v>4.3823521937399335</v>
      </c>
      <c r="AR33">
        <v>4.3977235847762701</v>
      </c>
      <c r="AS33">
        <v>4.3630980679290019</v>
      </c>
      <c r="AT33">
        <v>4.3733294523521451</v>
      </c>
      <c r="AU33">
        <v>4.3682285766165183</v>
      </c>
      <c r="AV33">
        <v>4.3766661114282561</v>
      </c>
      <c r="AW33">
        <v>4.4025379966570721</v>
      </c>
      <c r="AX33">
        <v>4.4275796608221878</v>
      </c>
      <c r="AY33">
        <v>4.3962251564048964</v>
      </c>
      <c r="AZ33">
        <v>4.3891752496514878</v>
      </c>
      <c r="BA33">
        <v>4.3877564063775605</v>
      </c>
      <c r="BB33">
        <v>4.3790181360872023</v>
      </c>
      <c r="BC33">
        <v>4.3798235488565735</v>
      </c>
      <c r="BD33">
        <v>4.3870445690100821</v>
      </c>
      <c r="BE33">
        <v>4.4061753942402424</v>
      </c>
      <c r="BF33">
        <v>4.3816408692047517</v>
      </c>
      <c r="BG33">
        <v>4.4069065417760322</v>
      </c>
      <c r="BH33">
        <v>4.4180212992861092</v>
      </c>
      <c r="BI33">
        <v>4.4023420319326254</v>
      </c>
      <c r="BJ33">
        <v>4.4002052806673575</v>
      </c>
      <c r="BK33">
        <v>4.3877160769432439</v>
      </c>
      <c r="BL33">
        <v>4.3813077902061419</v>
      </c>
      <c r="BM33">
        <v>4.4041036839563894</v>
      </c>
      <c r="BN33">
        <v>4.3861528875529237</v>
      </c>
      <c r="BO33">
        <v>4.3909613933941403</v>
      </c>
      <c r="BP33">
        <v>4.377108231501154</v>
      </c>
      <c r="BQ33">
        <v>4.3938582807371809</v>
      </c>
      <c r="BR33">
        <v>4.3870559856065805</v>
      </c>
      <c r="BS33">
        <v>4.3979141290103883</v>
      </c>
      <c r="BT33">
        <v>4.3958336335547123</v>
      </c>
      <c r="BU33">
        <v>4.3951079082801172</v>
      </c>
      <c r="BV33">
        <v>4.3852947250913044</v>
      </c>
      <c r="BW33">
        <v>4.3921630050019962</v>
      </c>
      <c r="BX33">
        <v>4.3863945130543271</v>
      </c>
      <c r="BY33">
        <v>4.3882255093450295</v>
      </c>
      <c r="BZ33">
        <v>4.3861747516307679</v>
      </c>
      <c r="CA33">
        <v>4.3934053398908093</v>
      </c>
      <c r="CB33">
        <v>4.3884142347763264</v>
      </c>
      <c r="CC33">
        <v>4.3878858483785086</v>
      </c>
      <c r="CX33" t="s">
        <v>131</v>
      </c>
      <c r="CY33">
        <v>437</v>
      </c>
      <c r="CZ33" t="s">
        <v>117</v>
      </c>
      <c r="DA33" t="s">
        <v>121</v>
      </c>
      <c r="DB33" t="s">
        <v>112</v>
      </c>
      <c r="DC33" t="s">
        <v>113</v>
      </c>
      <c r="DD33" t="s">
        <v>118</v>
      </c>
    </row>
    <row r="34" spans="1:108" x14ac:dyDescent="0.35">
      <c r="A34" t="s">
        <v>132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3.7660034317655575</v>
      </c>
      <c r="M34">
        <v>3.7028244821496639</v>
      </c>
      <c r="N34">
        <v>3.7311328902494623</v>
      </c>
      <c r="O34">
        <v>3.9176141394448232</v>
      </c>
      <c r="P34">
        <v>3.784816730135288</v>
      </c>
      <c r="Q34">
        <v>3.8664669431760874</v>
      </c>
      <c r="R34">
        <v>3.8252136121677061</v>
      </c>
      <c r="S34">
        <v>3.7783314933270611</v>
      </c>
      <c r="T34">
        <v>3.7699507655646398</v>
      </c>
      <c r="U34">
        <v>3.751441424490829</v>
      </c>
      <c r="V34">
        <v>3.7557315486549583</v>
      </c>
      <c r="W34">
        <v>3.7773905824675098</v>
      </c>
      <c r="X34">
        <v>3.8763608967753034</v>
      </c>
      <c r="Y34">
        <v>3.7511541927201422</v>
      </c>
      <c r="Z34">
        <v>3.8122557196900497</v>
      </c>
      <c r="AA34">
        <v>3.7279917063905432</v>
      </c>
      <c r="AB34">
        <v>3.7679706308149008</v>
      </c>
      <c r="AC34">
        <v>3.777268230927465</v>
      </c>
      <c r="AD34">
        <v>3.7591852291878411</v>
      </c>
      <c r="AE34">
        <v>3.7803530275616688</v>
      </c>
      <c r="AF34">
        <v>3.8139791870107929</v>
      </c>
      <c r="AG34">
        <v>3.7855387550860526</v>
      </c>
      <c r="AH34">
        <v>3.8263457585636078</v>
      </c>
      <c r="AI34">
        <v>3.8340498555971294</v>
      </c>
      <c r="AJ34">
        <v>3.8041549873404739</v>
      </c>
      <c r="AK34">
        <v>3.7963681402715008</v>
      </c>
      <c r="AL34">
        <v>3.8006888125598737</v>
      </c>
      <c r="AM34">
        <v>3.778942642463412</v>
      </c>
      <c r="AN34">
        <v>3.7822786110933579</v>
      </c>
      <c r="AO34">
        <v>3.7806260932365832</v>
      </c>
      <c r="AP34">
        <v>3.7833768692386185</v>
      </c>
      <c r="AQ34">
        <v>3.8312745073238808</v>
      </c>
      <c r="AR34">
        <v>3.7944955684281463</v>
      </c>
      <c r="AS34">
        <v>3.8069684627796994</v>
      </c>
      <c r="AT34">
        <v>3.8017192780980982</v>
      </c>
      <c r="AU34">
        <v>3.7705483816378371</v>
      </c>
      <c r="AV34">
        <v>3.7997792242251287</v>
      </c>
      <c r="AW34">
        <v>3.813852186090319</v>
      </c>
      <c r="AX34">
        <v>3.8061897822559239</v>
      </c>
      <c r="AY34">
        <v>3.8172754079846585</v>
      </c>
      <c r="AZ34">
        <v>3.8169555349420952</v>
      </c>
      <c r="BA34">
        <v>3.8030849555683259</v>
      </c>
      <c r="BB34">
        <v>3.8028907222751789</v>
      </c>
      <c r="BC34">
        <v>3.8130137907589572</v>
      </c>
      <c r="BD34">
        <v>3.7815267390402352</v>
      </c>
      <c r="BE34">
        <v>3.7816163442134401</v>
      </c>
      <c r="BF34">
        <v>3.8124165619818569</v>
      </c>
      <c r="BG34">
        <v>3.8477048885687468</v>
      </c>
      <c r="BH34">
        <v>3.7964725842475135</v>
      </c>
      <c r="BI34">
        <v>3.8099084679249908</v>
      </c>
      <c r="BJ34">
        <v>3.8082189864412559</v>
      </c>
      <c r="BK34">
        <v>3.8048396473470154</v>
      </c>
      <c r="BL34">
        <v>3.8003080555620494</v>
      </c>
      <c r="BM34">
        <v>3.8470969760468159</v>
      </c>
      <c r="BN34">
        <v>3.8190214188502991</v>
      </c>
      <c r="BO34">
        <v>3.8253333402045442</v>
      </c>
      <c r="BP34">
        <v>3.8226354916996921</v>
      </c>
      <c r="BQ34">
        <v>3.8223476358854001</v>
      </c>
      <c r="BR34">
        <v>3.8016681918725941</v>
      </c>
      <c r="BS34">
        <v>3.8262726929233697</v>
      </c>
      <c r="BT34">
        <v>3.8072496095223216</v>
      </c>
      <c r="BU34">
        <v>3.8134155911531549</v>
      </c>
      <c r="BV34">
        <v>3.8109432381799579</v>
      </c>
      <c r="BW34">
        <v>3.8100883593709192</v>
      </c>
      <c r="BX34">
        <v>3.8117644587700794</v>
      </c>
      <c r="BY34">
        <v>3.8072353660648721</v>
      </c>
      <c r="BZ34">
        <v>3.8088973226647909</v>
      </c>
      <c r="CA34">
        <v>3.8187643183872049</v>
      </c>
      <c r="CB34">
        <v>3.8198420440359024</v>
      </c>
      <c r="CC34">
        <v>3.8107014534863088</v>
      </c>
      <c r="CX34" t="s">
        <v>133</v>
      </c>
      <c r="CY34">
        <v>456</v>
      </c>
      <c r="CZ34" t="s">
        <v>117</v>
      </c>
      <c r="DA34" t="s">
        <v>111</v>
      </c>
      <c r="DB34" t="s">
        <v>112</v>
      </c>
      <c r="DC34" t="s">
        <v>113</v>
      </c>
      <c r="DD34" t="s">
        <v>118</v>
      </c>
    </row>
    <row r="35" spans="1:108" x14ac:dyDescent="0.35">
      <c r="A35" t="s">
        <v>134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4.3056977287419054</v>
      </c>
      <c r="M35">
        <v>4.3506221906477753</v>
      </c>
      <c r="N35">
        <v>4.3984404370455348</v>
      </c>
      <c r="O35">
        <v>4.2840487949064538</v>
      </c>
      <c r="P35">
        <v>4.3645464739567821</v>
      </c>
      <c r="Q35">
        <v>4.4912842915568527</v>
      </c>
      <c r="R35">
        <v>4.4157304980363898</v>
      </c>
      <c r="S35">
        <v>4.3586354188188343</v>
      </c>
      <c r="T35">
        <v>4.4319746183631752</v>
      </c>
      <c r="U35">
        <v>4.3498163103034866</v>
      </c>
      <c r="V35">
        <v>4.3968456063344474</v>
      </c>
      <c r="W35">
        <v>4.3476804174121702</v>
      </c>
      <c r="X35">
        <v>4.38964740070577</v>
      </c>
      <c r="Y35">
        <v>4.3832855017045604</v>
      </c>
      <c r="Z35">
        <v>4.3998630466387976</v>
      </c>
      <c r="AA35">
        <v>4.4067776760378576</v>
      </c>
      <c r="AB35">
        <v>4.3290192181525367</v>
      </c>
      <c r="AC35">
        <v>4.3929189646812921</v>
      </c>
      <c r="AD35">
        <v>4.3968428377309801</v>
      </c>
      <c r="AE35">
        <v>4.3942978017306062</v>
      </c>
      <c r="AF35">
        <v>4.3884601880756575</v>
      </c>
      <c r="AG35">
        <v>4.4089652277066946</v>
      </c>
      <c r="AH35">
        <v>4.4518360375852604</v>
      </c>
      <c r="AI35">
        <v>4.4117767202833056</v>
      </c>
      <c r="AJ35">
        <v>4.3979881044965277</v>
      </c>
      <c r="AK35">
        <v>4.3738978601598157</v>
      </c>
      <c r="AL35">
        <v>4.4002691519861523</v>
      </c>
      <c r="AM35">
        <v>4.3897158752959342</v>
      </c>
      <c r="AN35">
        <v>4.4023453847074006</v>
      </c>
      <c r="AO35">
        <v>4.3806018764253434</v>
      </c>
      <c r="AP35">
        <v>4.365003902256027</v>
      </c>
      <c r="AQ35">
        <v>4.4228515233022101</v>
      </c>
      <c r="AR35">
        <v>4.3825073145269187</v>
      </c>
      <c r="AS35">
        <v>4.395717500673924</v>
      </c>
      <c r="AT35">
        <v>4.3732725772541219</v>
      </c>
      <c r="AU35">
        <v>4.3661050399094696</v>
      </c>
      <c r="AV35">
        <v>4.3529244489006258</v>
      </c>
      <c r="AW35">
        <v>4.4164227281399926</v>
      </c>
      <c r="AX35">
        <v>4.4272474710071004</v>
      </c>
      <c r="AY35">
        <v>4.4009492234062106</v>
      </c>
      <c r="AZ35">
        <v>4.4525694364908901</v>
      </c>
      <c r="BA35">
        <v>4.3942522216425175</v>
      </c>
      <c r="BB35">
        <v>4.4118402212873358</v>
      </c>
      <c r="BC35">
        <v>4.4214208811982649</v>
      </c>
      <c r="BD35">
        <v>4.4268493687867654</v>
      </c>
      <c r="BE35">
        <v>4.3733804223366288</v>
      </c>
      <c r="BF35">
        <v>4.3910020449708815</v>
      </c>
      <c r="BG35">
        <v>4.4067283509434008</v>
      </c>
      <c r="BH35">
        <v>4.4518068105569206</v>
      </c>
      <c r="BI35">
        <v>4.359760549643692</v>
      </c>
      <c r="BJ35">
        <v>4.4048949973685341</v>
      </c>
      <c r="BK35">
        <v>4.398553987986956</v>
      </c>
      <c r="BL35">
        <v>4.420018788220454</v>
      </c>
      <c r="BM35">
        <v>4.4117588705295834</v>
      </c>
      <c r="BN35">
        <v>4.4251435823763776</v>
      </c>
      <c r="BO35">
        <v>4.4291457524974867</v>
      </c>
      <c r="BP35">
        <v>4.4002071965900367</v>
      </c>
      <c r="BQ35">
        <v>4.4124736872372958</v>
      </c>
      <c r="BR35">
        <v>4.3789165956393994</v>
      </c>
      <c r="BS35">
        <v>4.4078686319158757</v>
      </c>
      <c r="BT35">
        <v>4.4056754419401152</v>
      </c>
      <c r="BU35">
        <v>4.4030443117918656</v>
      </c>
      <c r="BV35">
        <v>4.4132048141271625</v>
      </c>
      <c r="BW35">
        <v>4.4184658582321346</v>
      </c>
      <c r="BX35">
        <v>4.3906135518932006</v>
      </c>
      <c r="BY35">
        <v>4.4060134113704823</v>
      </c>
      <c r="BZ35">
        <v>4.3982206938943573</v>
      </c>
      <c r="CA35">
        <v>4.3948214665444709</v>
      </c>
      <c r="CB35">
        <v>4.4155795430550366</v>
      </c>
      <c r="CC35">
        <v>4.4263718659471234</v>
      </c>
      <c r="CD35">
        <v>4.4145470731092757</v>
      </c>
      <c r="CE35">
        <v>4.4082674277299514</v>
      </c>
      <c r="CF35">
        <v>4.4128441536312426</v>
      </c>
      <c r="CG35">
        <v>4.4072174160938165</v>
      </c>
      <c r="CH35">
        <v>4.4122167778538159</v>
      </c>
      <c r="CI35">
        <v>4.4115521657985566</v>
      </c>
      <c r="CJ35">
        <v>4.4139325660125701</v>
      </c>
      <c r="CK35">
        <v>4.4022062665938213</v>
      </c>
      <c r="CL35">
        <v>4.4101161007628056</v>
      </c>
      <c r="CM35">
        <v>4.3986372567070893</v>
      </c>
      <c r="CX35" t="s">
        <v>135</v>
      </c>
      <c r="CY35">
        <v>456</v>
      </c>
      <c r="CZ35" t="s">
        <v>117</v>
      </c>
      <c r="DA35" t="s">
        <v>111</v>
      </c>
      <c r="DB35" t="s">
        <v>112</v>
      </c>
      <c r="DC35" t="s">
        <v>113</v>
      </c>
      <c r="DD35" t="s">
        <v>118</v>
      </c>
    </row>
    <row r="36" spans="1:108" x14ac:dyDescent="0.35">
      <c r="A36" t="s">
        <v>136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4.1124471816091672</v>
      </c>
      <c r="M36">
        <v>4.0658165885041564</v>
      </c>
      <c r="N36">
        <v>4.1519448440040554</v>
      </c>
      <c r="O36">
        <v>4.1627775927051411</v>
      </c>
      <c r="P36">
        <v>4.059900080468176</v>
      </c>
      <c r="Q36">
        <v>4.1431668027634254</v>
      </c>
      <c r="R36">
        <v>4.3477634928465942</v>
      </c>
      <c r="S36">
        <v>4.1605880920838576</v>
      </c>
      <c r="T36">
        <v>4.1501708565246185</v>
      </c>
      <c r="U36">
        <v>4.2494178469634454</v>
      </c>
      <c r="V36">
        <v>4.1757400514042278</v>
      </c>
      <c r="W36">
        <v>4.2136578725630267</v>
      </c>
      <c r="X36">
        <v>4.2314642590689688</v>
      </c>
      <c r="Y36">
        <v>4.1489553735366487</v>
      </c>
      <c r="Z36">
        <v>4.1476060931832004</v>
      </c>
      <c r="AA36">
        <v>4.1938615047384404</v>
      </c>
      <c r="AB36">
        <v>4.2153352914130089</v>
      </c>
      <c r="AC36">
        <v>4.2160327763051297</v>
      </c>
      <c r="AD36">
        <v>4.1917315186281394</v>
      </c>
      <c r="AE36">
        <v>4.1184621111582622</v>
      </c>
      <c r="AF36">
        <v>4.1616849124740849</v>
      </c>
      <c r="AG36">
        <v>4.2042332322992797</v>
      </c>
      <c r="AH36">
        <v>4.1724709439677294</v>
      </c>
      <c r="AI36">
        <v>4.1907052366039652</v>
      </c>
      <c r="AJ36">
        <v>4.2217422430965739</v>
      </c>
      <c r="AK36">
        <v>4.2193806924140764</v>
      </c>
      <c r="AL36">
        <v>4.1568966662094047</v>
      </c>
      <c r="AM36">
        <v>4.2333980394124007</v>
      </c>
      <c r="AN36">
        <v>4.202026577237767</v>
      </c>
      <c r="AO36">
        <v>4.1930149980964941</v>
      </c>
      <c r="AP36">
        <v>4.2212096762637286</v>
      </c>
      <c r="AQ36">
        <v>4.1938519612102985</v>
      </c>
      <c r="AR36">
        <v>4.2022400364476962</v>
      </c>
      <c r="AS36">
        <v>4.1835300054640712</v>
      </c>
      <c r="AT36">
        <v>4.240420892327414</v>
      </c>
      <c r="AU36">
        <v>4.1891155428521643</v>
      </c>
      <c r="AV36">
        <v>4.1854814001728569</v>
      </c>
      <c r="AW36">
        <v>4.1952245921281417</v>
      </c>
      <c r="AX36">
        <v>4.1466387913015774</v>
      </c>
      <c r="AY36">
        <v>4.1958422826511024</v>
      </c>
      <c r="AZ36">
        <v>4.1943204551634059</v>
      </c>
      <c r="BA36">
        <v>4.1704243112223809</v>
      </c>
      <c r="BB36">
        <v>4.2383310475033866</v>
      </c>
      <c r="BC36">
        <v>4.210516153148685</v>
      </c>
      <c r="BD36">
        <v>4.2226680862286852</v>
      </c>
      <c r="BE36">
        <v>4.1983416104158504</v>
      </c>
      <c r="BF36">
        <v>4.1858358099829163</v>
      </c>
      <c r="BG36">
        <v>4.2049544451844287</v>
      </c>
      <c r="BH36">
        <v>4.2281087658044152</v>
      </c>
      <c r="BI36">
        <v>4.2133982217836081</v>
      </c>
      <c r="BJ36">
        <v>4.2017866809899607</v>
      </c>
      <c r="BK36">
        <v>4.2168550812334251</v>
      </c>
      <c r="BL36">
        <v>4.2113352340369783</v>
      </c>
      <c r="BM36">
        <v>4.2167477722474853</v>
      </c>
      <c r="BN36">
        <v>4.1986471710857858</v>
      </c>
      <c r="BO36">
        <v>4.2210648035501581</v>
      </c>
      <c r="BP36">
        <v>4.2079372485251669</v>
      </c>
      <c r="BQ36">
        <v>4.2099210781927798</v>
      </c>
      <c r="BR36">
        <v>4.213387291154115</v>
      </c>
      <c r="BS36">
        <v>4.1981696513301632</v>
      </c>
      <c r="BT36">
        <v>4.2167071431924361</v>
      </c>
      <c r="BU36">
        <v>4.2121542950082791</v>
      </c>
      <c r="BV36">
        <v>4.195975249745727</v>
      </c>
      <c r="BW36">
        <v>4.2034925447968421</v>
      </c>
      <c r="BX36">
        <v>4.1923696098899565</v>
      </c>
      <c r="BY36">
        <v>4.2093082101876318</v>
      </c>
      <c r="BZ36">
        <v>4.2176082023675052</v>
      </c>
      <c r="CA36">
        <v>4.1932741493455277</v>
      </c>
      <c r="CB36">
        <v>4.1987077557304247</v>
      </c>
      <c r="CC36">
        <v>4.2197061007475529</v>
      </c>
      <c r="CD36">
        <v>4.1929524144247097</v>
      </c>
      <c r="CE36">
        <v>4.2159118098057879</v>
      </c>
      <c r="CF36">
        <v>4.1871555297411502</v>
      </c>
      <c r="CG36">
        <v>4.2073278899217206</v>
      </c>
      <c r="CH36">
        <v>4.2024054054327218</v>
      </c>
      <c r="CI36">
        <v>4.2121727682707988</v>
      </c>
      <c r="CJ36">
        <v>4.2143749407930473</v>
      </c>
      <c r="CK36">
        <v>4.2125213722342805</v>
      </c>
      <c r="CL36">
        <v>4.1951274178953497</v>
      </c>
      <c r="CM36">
        <v>4.2142859212783366</v>
      </c>
      <c r="CX36" t="s">
        <v>137</v>
      </c>
      <c r="CY36">
        <v>457</v>
      </c>
      <c r="CZ36" t="s">
        <v>110</v>
      </c>
      <c r="DA36" t="s">
        <v>111</v>
      </c>
      <c r="DB36" t="s">
        <v>112</v>
      </c>
      <c r="DC36" t="s">
        <v>113</v>
      </c>
      <c r="DD36" t="s">
        <v>114</v>
      </c>
    </row>
    <row r="37" spans="1:108" x14ac:dyDescent="0.35">
      <c r="A37" t="s">
        <v>138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4.4263601364630691</v>
      </c>
      <c r="M37">
        <v>4.4100864412504768</v>
      </c>
      <c r="N37">
        <v>4.4502844446380641</v>
      </c>
      <c r="O37">
        <v>4.3025771148499734</v>
      </c>
      <c r="P37">
        <v>4.4070350997623899</v>
      </c>
      <c r="Q37">
        <v>4.4023526484796776</v>
      </c>
      <c r="R37">
        <v>4.4297110515150342</v>
      </c>
      <c r="S37">
        <v>4.4123465856884776</v>
      </c>
      <c r="T37">
        <v>4.4877531836417157</v>
      </c>
      <c r="U37">
        <v>4.5239988215778757</v>
      </c>
      <c r="V37">
        <v>4.484731375963281</v>
      </c>
      <c r="W37">
        <v>4.4735418533631304</v>
      </c>
      <c r="X37">
        <v>4.4421894666244404</v>
      </c>
      <c r="Y37">
        <v>4.4359424550534561</v>
      </c>
      <c r="Z37">
        <v>4.4978201572404908</v>
      </c>
      <c r="AA37">
        <v>4.4767855603712468</v>
      </c>
      <c r="AB37">
        <v>4.4730505302495764</v>
      </c>
      <c r="AC37">
        <v>4.4254751701256376</v>
      </c>
      <c r="AD37">
        <v>4.4852601428108976</v>
      </c>
      <c r="AE37">
        <v>4.4377738349636298</v>
      </c>
      <c r="AF37">
        <v>4.4397164198365724</v>
      </c>
      <c r="AG37">
        <v>4.5208938098408415</v>
      </c>
      <c r="AH37">
        <v>4.4656146598396491</v>
      </c>
      <c r="AI37">
        <v>4.5244038061042575</v>
      </c>
      <c r="AJ37">
        <v>4.4981368997137139</v>
      </c>
      <c r="AK37">
        <v>4.4829846533859348</v>
      </c>
      <c r="AL37">
        <v>4.4826650449228085</v>
      </c>
      <c r="AM37">
        <v>4.4744560117678702</v>
      </c>
      <c r="AN37">
        <v>4.5461436295439057</v>
      </c>
      <c r="AO37">
        <v>4.4408650916446346</v>
      </c>
      <c r="AP37">
        <v>4.4686658893529403</v>
      </c>
      <c r="AQ37">
        <v>4.461834480717342</v>
      </c>
      <c r="AR37">
        <v>4.4851323807914278</v>
      </c>
      <c r="AS37">
        <v>4.4240487450878332</v>
      </c>
      <c r="AT37">
        <v>4.4898032683648506</v>
      </c>
      <c r="AU37">
        <v>4.4617810048102591</v>
      </c>
      <c r="AV37">
        <v>4.4563413860190861</v>
      </c>
      <c r="AW37">
        <v>4.5269499942879365</v>
      </c>
      <c r="AX37">
        <v>4.5148793396595055</v>
      </c>
      <c r="AY37">
        <v>4.4616904728482663</v>
      </c>
      <c r="AZ37">
        <v>4.4882860134618392</v>
      </c>
      <c r="BA37">
        <v>4.478886477862857</v>
      </c>
      <c r="BB37">
        <v>4.5163808539632129</v>
      </c>
      <c r="BC37">
        <v>4.464278556740596</v>
      </c>
      <c r="BD37">
        <v>4.4867090819673887</v>
      </c>
      <c r="BE37">
        <v>4.5052792224972658</v>
      </c>
      <c r="BF37">
        <v>4.4531462901428061</v>
      </c>
      <c r="BG37">
        <v>4.5305784581729016</v>
      </c>
      <c r="BH37">
        <v>4.4807019497663925</v>
      </c>
      <c r="BI37">
        <v>4.470889186778308</v>
      </c>
      <c r="BJ37">
        <v>4.4990448588476628</v>
      </c>
      <c r="BK37">
        <v>4.5080889653348697</v>
      </c>
      <c r="BL37">
        <v>4.4853293144745594</v>
      </c>
      <c r="BM37">
        <v>4.4979102915050611</v>
      </c>
      <c r="BN37">
        <v>4.4984733769633261</v>
      </c>
      <c r="BO37">
        <v>4.5235636583881442</v>
      </c>
      <c r="BP37">
        <v>4.4829474808778214</v>
      </c>
      <c r="BQ37">
        <v>4.4783617408149903</v>
      </c>
      <c r="BR37">
        <v>4.4932604173941373</v>
      </c>
      <c r="BS37">
        <v>4.4741199461473551</v>
      </c>
      <c r="BT37">
        <v>4.5031137382814919</v>
      </c>
      <c r="BU37">
        <v>4.5002976683889662</v>
      </c>
      <c r="BV37">
        <v>4.4949976178169688</v>
      </c>
      <c r="BW37">
        <v>4.4942932192298199</v>
      </c>
      <c r="BX37">
        <v>4.4824435208952034</v>
      </c>
      <c r="BY37">
        <v>4.4773770761262552</v>
      </c>
      <c r="BZ37">
        <v>4.4913047247830491</v>
      </c>
      <c r="CA37">
        <v>4.4789912602127311</v>
      </c>
      <c r="CB37">
        <v>4.5041422049060014</v>
      </c>
      <c r="CC37">
        <v>4.5010141703580251</v>
      </c>
      <c r="CD37">
        <v>4.4911733233000763</v>
      </c>
      <c r="CE37">
        <v>4.4958927755851059</v>
      </c>
      <c r="CF37">
        <v>4.4835927673552991</v>
      </c>
      <c r="CG37">
        <v>4.4860606811171664</v>
      </c>
      <c r="CH37">
        <v>4.4901997637333322</v>
      </c>
      <c r="CI37">
        <v>4.5011704586736778</v>
      </c>
      <c r="CJ37">
        <v>4.4918398877393306</v>
      </c>
      <c r="CK37">
        <v>4.497491516146173</v>
      </c>
      <c r="CL37">
        <v>4.4982411889223757</v>
      </c>
      <c r="CM37">
        <v>4.487661083973804</v>
      </c>
      <c r="CX37" t="s">
        <v>139</v>
      </c>
      <c r="CY37">
        <v>435</v>
      </c>
      <c r="CZ37" t="s">
        <v>117</v>
      </c>
      <c r="DA37" t="s">
        <v>121</v>
      </c>
      <c r="DB37" t="s">
        <v>112</v>
      </c>
      <c r="DC37" t="s">
        <v>113</v>
      </c>
      <c r="DD37" t="s">
        <v>118</v>
      </c>
    </row>
    <row r="38" spans="1:108" x14ac:dyDescent="0.35">
      <c r="A38" t="s">
        <v>140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4.3577059832164879</v>
      </c>
      <c r="M38">
        <v>4.472168267641762</v>
      </c>
      <c r="N38">
        <v>4.380179419004155</v>
      </c>
      <c r="O38">
        <v>4.5753121401105012</v>
      </c>
      <c r="P38">
        <v>4.3634860333936194</v>
      </c>
      <c r="Q38">
        <v>4.4958374132651659</v>
      </c>
      <c r="R38">
        <v>4.4489853685617193</v>
      </c>
      <c r="S38">
        <v>4.464399203013274</v>
      </c>
      <c r="T38">
        <v>4.432689084534255</v>
      </c>
      <c r="U38">
        <v>4.4853719395799114</v>
      </c>
      <c r="V38">
        <v>4.4412711763314414</v>
      </c>
      <c r="W38">
        <v>4.4355082758637261</v>
      </c>
      <c r="X38">
        <v>4.4653692602071215</v>
      </c>
      <c r="Y38">
        <v>4.3889809773137216</v>
      </c>
      <c r="Z38">
        <v>4.405037014493681</v>
      </c>
      <c r="AA38">
        <v>4.55270135741773</v>
      </c>
      <c r="AB38">
        <v>4.4138810050291406</v>
      </c>
      <c r="AC38">
        <v>4.4813593506376481</v>
      </c>
      <c r="AD38">
        <v>4.5667808466603912</v>
      </c>
      <c r="AE38">
        <v>4.4202673817493059</v>
      </c>
      <c r="AF38">
        <v>4.4570847636051862</v>
      </c>
      <c r="AG38">
        <v>4.4662779599165132</v>
      </c>
      <c r="AH38">
        <v>4.4791774322138194</v>
      </c>
      <c r="AI38">
        <v>4.4719228554238351</v>
      </c>
      <c r="AJ38">
        <v>4.4507323681127451</v>
      </c>
      <c r="AK38">
        <v>4.5332897483459815</v>
      </c>
      <c r="AL38">
        <v>4.4537082105254351</v>
      </c>
      <c r="AM38">
        <v>4.4278627099153107</v>
      </c>
      <c r="AN38">
        <v>4.4352144653523773</v>
      </c>
      <c r="AO38">
        <v>4.5046512085245443</v>
      </c>
      <c r="AP38">
        <v>4.4680153427903821</v>
      </c>
      <c r="AQ38">
        <v>4.4890999208612703</v>
      </c>
      <c r="AR38">
        <v>4.4734160620021504</v>
      </c>
      <c r="AS38">
        <v>4.4890715450301144</v>
      </c>
      <c r="AT38">
        <v>4.4986049051876904</v>
      </c>
      <c r="AU38">
        <v>4.462445421226799</v>
      </c>
      <c r="AV38">
        <v>4.4970183548190104</v>
      </c>
      <c r="AW38">
        <v>4.4831234851349819</v>
      </c>
      <c r="AX38">
        <v>4.4943796419294681</v>
      </c>
      <c r="AY38">
        <v>4.4486218725593565</v>
      </c>
      <c r="AZ38">
        <v>4.4932658179253906</v>
      </c>
      <c r="BA38">
        <v>4.4559874165007392</v>
      </c>
      <c r="BB38">
        <v>4.4867046023345445</v>
      </c>
      <c r="BC38">
        <v>4.5188676013952076</v>
      </c>
      <c r="BD38">
        <v>4.5138814885045244</v>
      </c>
      <c r="BE38">
        <v>4.4269458790316296</v>
      </c>
      <c r="BF38">
        <v>4.4629852316879965</v>
      </c>
      <c r="BG38">
        <v>4.4707292489586381</v>
      </c>
      <c r="BH38">
        <v>4.5140268451395196</v>
      </c>
      <c r="BI38">
        <v>4.5202694220309354</v>
      </c>
      <c r="BJ38">
        <v>4.4670452893434565</v>
      </c>
      <c r="BK38">
        <v>4.4984134272199823</v>
      </c>
      <c r="BL38">
        <v>4.4862736463773691</v>
      </c>
      <c r="BM38">
        <v>4.4907598966754403</v>
      </c>
      <c r="BN38">
        <v>4.4836860787900861</v>
      </c>
      <c r="BO38">
        <v>4.4964082254005708</v>
      </c>
      <c r="BP38">
        <v>4.4841587711123294</v>
      </c>
      <c r="BQ38">
        <v>4.5017677709250838</v>
      </c>
      <c r="BR38">
        <v>4.4864804454464604</v>
      </c>
      <c r="BS38">
        <v>4.4754511293977952</v>
      </c>
      <c r="BT38">
        <v>4.5082106052146695</v>
      </c>
      <c r="BU38">
        <v>4.5103083440382257</v>
      </c>
      <c r="BV38">
        <v>4.5111331506506502</v>
      </c>
      <c r="BW38">
        <v>4.5031710349402019</v>
      </c>
      <c r="BX38">
        <v>4.4895601795944833</v>
      </c>
      <c r="BY38">
        <v>4.4983542485903545</v>
      </c>
      <c r="BZ38">
        <v>4.496970672035034</v>
      </c>
      <c r="CA38">
        <v>4.4893412806278334</v>
      </c>
      <c r="CB38">
        <v>4.4777970023542357</v>
      </c>
      <c r="CC38">
        <v>4.4957587973643678</v>
      </c>
      <c r="CD38">
        <v>4.4844149061781637</v>
      </c>
      <c r="CE38">
        <v>4.4840055508836087</v>
      </c>
      <c r="CF38">
        <v>4.4864474360752</v>
      </c>
      <c r="CG38">
        <v>4.4907485767123783</v>
      </c>
      <c r="CH38">
        <v>4.4889206890447237</v>
      </c>
      <c r="CI38">
        <v>4.5014113778165141</v>
      </c>
      <c r="CJ38">
        <v>4.4962518100164255</v>
      </c>
      <c r="CK38">
        <v>4.4929959829153914</v>
      </c>
      <c r="CL38">
        <v>4.4920768746590962</v>
      </c>
      <c r="CM38">
        <v>4.4831223942391052</v>
      </c>
      <c r="CN38">
        <v>4.4929684327656885</v>
      </c>
      <c r="CO38">
        <v>4.4944466790091608</v>
      </c>
      <c r="CP38">
        <v>4.4940857099442848</v>
      </c>
      <c r="CQ38">
        <v>4.4946121868347824</v>
      </c>
      <c r="CR38">
        <v>4.4919958742289845</v>
      </c>
      <c r="CS38">
        <v>4.4876907246245583</v>
      </c>
      <c r="CT38">
        <v>4.4945649458459798</v>
      </c>
      <c r="CU38">
        <v>4.4971557400213324</v>
      </c>
      <c r="CV38">
        <v>4.491304350689064</v>
      </c>
      <c r="CW38">
        <v>4.4973871248911257</v>
      </c>
      <c r="CX38" t="s">
        <v>141</v>
      </c>
      <c r="CY38">
        <v>457</v>
      </c>
      <c r="CZ38" t="s">
        <v>110</v>
      </c>
      <c r="DA38" t="s">
        <v>111</v>
      </c>
      <c r="DB38" t="s">
        <v>112</v>
      </c>
      <c r="DC38" t="s">
        <v>113</v>
      </c>
      <c r="DD38" t="s">
        <v>114</v>
      </c>
    </row>
    <row r="39" spans="1:108" x14ac:dyDescent="0.35">
      <c r="A39" t="s">
        <v>142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3.9109397679857656</v>
      </c>
      <c r="M39">
        <v>3.7857834805017241</v>
      </c>
      <c r="N39">
        <v>3.8114532019923009</v>
      </c>
      <c r="O39">
        <v>3.8488839854390569</v>
      </c>
      <c r="P39">
        <v>3.8699760459181776</v>
      </c>
      <c r="Q39">
        <v>3.8761992954917934</v>
      </c>
      <c r="R39">
        <v>3.8831268663392962</v>
      </c>
      <c r="S39">
        <v>3.8813962620167048</v>
      </c>
      <c r="T39">
        <v>3.9057560901677282</v>
      </c>
      <c r="U39">
        <v>3.9522338567817048</v>
      </c>
      <c r="V39">
        <v>3.9066068465559378</v>
      </c>
      <c r="W39">
        <v>3.886131720684856</v>
      </c>
      <c r="X39">
        <v>3.9660942721692769</v>
      </c>
      <c r="Y39">
        <v>3.8612196937519911</v>
      </c>
      <c r="Z39">
        <v>3.8650270764617618</v>
      </c>
      <c r="AA39">
        <v>3.8099196730217</v>
      </c>
      <c r="AB39">
        <v>3.9135044810059938</v>
      </c>
      <c r="AC39">
        <v>3.9327838391595376</v>
      </c>
      <c r="AD39">
        <v>3.926316212223862</v>
      </c>
      <c r="AE39">
        <v>3.9268663680276266</v>
      </c>
      <c r="AF39">
        <v>3.8981767803101639</v>
      </c>
      <c r="AG39">
        <v>3.8970975608658249</v>
      </c>
      <c r="AH39">
        <v>3.9193093111382034</v>
      </c>
      <c r="AI39">
        <v>3.8674388121205681</v>
      </c>
      <c r="AJ39">
        <v>3.904716023365967</v>
      </c>
      <c r="AK39">
        <v>3.9471202309990487</v>
      </c>
      <c r="AL39">
        <v>3.859441462483598</v>
      </c>
      <c r="AM39">
        <v>3.9360817774934063</v>
      </c>
      <c r="AN39">
        <v>3.9298077379931868</v>
      </c>
      <c r="AO39">
        <v>3.8509586085780172</v>
      </c>
      <c r="AP39">
        <v>3.9563739690610937</v>
      </c>
      <c r="AQ39">
        <v>3.943850045517391</v>
      </c>
      <c r="AR39">
        <v>3.926248701306732</v>
      </c>
      <c r="AS39">
        <v>3.9523708291910142</v>
      </c>
      <c r="AT39">
        <v>3.9264798864869852</v>
      </c>
      <c r="AU39">
        <v>3.8626244364801221</v>
      </c>
      <c r="AV39">
        <v>3.9130285885286944</v>
      </c>
      <c r="AW39">
        <v>3.9369051045768999</v>
      </c>
      <c r="AX39">
        <v>3.9330357988660585</v>
      </c>
      <c r="AY39">
        <v>3.9137497766377329</v>
      </c>
      <c r="AZ39">
        <v>3.918391311032317</v>
      </c>
      <c r="BA39">
        <v>3.9082059301823739</v>
      </c>
      <c r="BB39">
        <v>3.9004273907669398</v>
      </c>
      <c r="BC39">
        <v>3.88783099888663</v>
      </c>
      <c r="BD39">
        <v>3.9251739140631208</v>
      </c>
      <c r="BE39">
        <v>3.9511677449652129</v>
      </c>
      <c r="BF39">
        <v>3.9214472098229689</v>
      </c>
      <c r="BG39">
        <v>3.9052716868955861</v>
      </c>
      <c r="BH39">
        <v>3.9178281993212161</v>
      </c>
      <c r="BI39">
        <v>3.8796826768226098</v>
      </c>
      <c r="BJ39">
        <v>3.8887382133038457</v>
      </c>
      <c r="BK39">
        <v>3.9304706696383369</v>
      </c>
      <c r="BL39">
        <v>3.9193920971131559</v>
      </c>
      <c r="BM39">
        <v>3.9310387084736655</v>
      </c>
      <c r="BN39">
        <v>3.916048912957006</v>
      </c>
      <c r="BO39">
        <v>3.9365354330906679</v>
      </c>
      <c r="BP39">
        <v>3.8826440604136501</v>
      </c>
      <c r="BQ39">
        <v>3.9039451194128159</v>
      </c>
      <c r="BR39">
        <v>3.896932116155448</v>
      </c>
      <c r="BS39">
        <v>3.9157174323557049</v>
      </c>
      <c r="BT39">
        <v>3.9138310365502318</v>
      </c>
      <c r="BU39">
        <v>3.9153574899984052</v>
      </c>
      <c r="BV39">
        <v>3.912663870249339</v>
      </c>
      <c r="BW39">
        <v>3.9230928392529054</v>
      </c>
      <c r="BX39">
        <v>3.9065218755365136</v>
      </c>
      <c r="BY39">
        <v>3.9211801609021775</v>
      </c>
      <c r="BZ39">
        <v>3.9129771318800488</v>
      </c>
      <c r="CA39">
        <v>3.9184380705346529</v>
      </c>
      <c r="CB39">
        <v>3.914719348225407</v>
      </c>
      <c r="CC39">
        <v>3.9170366836439015</v>
      </c>
      <c r="CX39" t="s">
        <v>143</v>
      </c>
      <c r="CY39">
        <v>456</v>
      </c>
      <c r="CZ39" t="s">
        <v>117</v>
      </c>
      <c r="DA39" t="s">
        <v>111</v>
      </c>
      <c r="DB39" t="s">
        <v>112</v>
      </c>
      <c r="DC39" t="s">
        <v>113</v>
      </c>
      <c r="DD39" t="s">
        <v>118</v>
      </c>
    </row>
    <row r="40" spans="1:108" x14ac:dyDescent="0.35">
      <c r="A40" t="s">
        <v>144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4.0711656027060261</v>
      </c>
      <c r="M40">
        <v>4.1506321554299213</v>
      </c>
      <c r="N40">
        <v>4.1005172072682958</v>
      </c>
      <c r="O40">
        <v>4.1735786402473343</v>
      </c>
      <c r="P40">
        <v>4.0916540326142474</v>
      </c>
      <c r="Q40">
        <v>4.1093861019260531</v>
      </c>
      <c r="R40">
        <v>4.1512395705390022</v>
      </c>
      <c r="S40">
        <v>4.1759694449916154</v>
      </c>
      <c r="T40">
        <v>3.9693949270276767</v>
      </c>
      <c r="U40">
        <v>4.1244055577404843</v>
      </c>
      <c r="V40">
        <v>4.1198565174414519</v>
      </c>
      <c r="W40">
        <v>4.1511645013025351</v>
      </c>
      <c r="X40">
        <v>4.1597986499507442</v>
      </c>
      <c r="Y40">
        <v>4.186220989309497</v>
      </c>
      <c r="Z40">
        <v>4.1285593800233862</v>
      </c>
      <c r="AA40">
        <v>4.07735897974894</v>
      </c>
      <c r="AB40">
        <v>4.1266734188806131</v>
      </c>
      <c r="AC40">
        <v>4.0995895006477099</v>
      </c>
      <c r="AD40">
        <v>4.2232733880966551</v>
      </c>
      <c r="AE40">
        <v>4.2270116416113428</v>
      </c>
      <c r="AF40">
        <v>4.1311119072054003</v>
      </c>
      <c r="AG40">
        <v>4.15321720668181</v>
      </c>
      <c r="AH40">
        <v>4.1875456091191152</v>
      </c>
      <c r="AI40">
        <v>4.1430930521939091</v>
      </c>
      <c r="AJ40">
        <v>4.1803664246850847</v>
      </c>
      <c r="AK40">
        <v>4.1912390550182765</v>
      </c>
      <c r="AL40">
        <v>4.1154413461575752</v>
      </c>
      <c r="AM40">
        <v>4.2088954646610679</v>
      </c>
      <c r="AN40">
        <v>4.1246433905833237</v>
      </c>
      <c r="AO40">
        <v>4.1747217278282358</v>
      </c>
      <c r="AP40">
        <v>4.1539331309247274</v>
      </c>
      <c r="AQ40">
        <v>4.1457928068375516</v>
      </c>
      <c r="AR40">
        <v>4.1581382971873957</v>
      </c>
      <c r="AS40">
        <v>4.2123123408864549</v>
      </c>
      <c r="AT40">
        <v>4.1817642472939838</v>
      </c>
      <c r="AU40">
        <v>4.2258980506726287</v>
      </c>
      <c r="AV40">
        <v>4.1667650050651055</v>
      </c>
      <c r="AW40">
        <v>4.1697957218335446</v>
      </c>
      <c r="AX40">
        <v>4.158841145406722</v>
      </c>
      <c r="AY40">
        <v>4.1815192323254893</v>
      </c>
      <c r="AZ40">
        <v>4.1180555729272994</v>
      </c>
      <c r="BA40">
        <v>4.1423074399601214</v>
      </c>
      <c r="BB40">
        <v>4.1844174718822416</v>
      </c>
      <c r="BC40">
        <v>4.1714834432513541</v>
      </c>
      <c r="BD40">
        <v>4.1534218213767389</v>
      </c>
      <c r="BE40">
        <v>4.1695407819117696</v>
      </c>
      <c r="BF40">
        <v>4.1932799757622892</v>
      </c>
      <c r="BG40">
        <v>4.149125775616973</v>
      </c>
      <c r="BH40">
        <v>4.1941475524780261</v>
      </c>
      <c r="BI40">
        <v>4.1722036208782356</v>
      </c>
      <c r="BJ40">
        <v>4.1435628221345553</v>
      </c>
      <c r="BK40">
        <v>4.1687255799930467</v>
      </c>
      <c r="BL40">
        <v>4.1980390742567204</v>
      </c>
      <c r="BM40">
        <v>4.1819043385365067</v>
      </c>
      <c r="BN40">
        <v>4.1639154412902801</v>
      </c>
      <c r="BO40">
        <v>4.1777019205061254</v>
      </c>
      <c r="BP40">
        <v>4.1633227409393934</v>
      </c>
      <c r="BQ40">
        <v>4.194862251762177</v>
      </c>
      <c r="BR40">
        <v>4.1705927086066614</v>
      </c>
      <c r="BS40">
        <v>4.2028545489542743</v>
      </c>
      <c r="BT40">
        <v>4.1671337508126198</v>
      </c>
      <c r="BU40">
        <v>4.1728962514401049</v>
      </c>
      <c r="BV40">
        <v>4.1743922988681952</v>
      </c>
      <c r="BW40">
        <v>4.1738415006822009</v>
      </c>
      <c r="BX40">
        <v>4.1681044826873981</v>
      </c>
      <c r="BY40">
        <v>4.1622924462409872</v>
      </c>
      <c r="BZ40">
        <v>4.1628737229559798</v>
      </c>
      <c r="CA40">
        <v>4.1850932782768506</v>
      </c>
      <c r="CB40">
        <v>4.1922471483730721</v>
      </c>
      <c r="CC40">
        <v>4.1828792675728641</v>
      </c>
      <c r="CD40">
        <v>4.1769149155012073</v>
      </c>
      <c r="CE40">
        <v>4.1800892870205804</v>
      </c>
      <c r="CF40">
        <v>4.1757242092436888</v>
      </c>
      <c r="CG40">
        <v>4.1683157328994502</v>
      </c>
      <c r="CH40">
        <v>4.1764935433865951</v>
      </c>
      <c r="CI40">
        <v>4.1844112336299917</v>
      </c>
      <c r="CJ40">
        <v>4.1702467828238934</v>
      </c>
      <c r="CK40">
        <v>4.1761092173268697</v>
      </c>
      <c r="CL40">
        <v>4.1772911711172256</v>
      </c>
      <c r="CM40">
        <v>4.1746267734335278</v>
      </c>
      <c r="CX40" t="s">
        <v>145</v>
      </c>
      <c r="CY40">
        <v>457</v>
      </c>
      <c r="CZ40" t="s">
        <v>110</v>
      </c>
      <c r="DA40" t="s">
        <v>111</v>
      </c>
      <c r="DB40" t="s">
        <v>112</v>
      </c>
      <c r="DC40" t="s">
        <v>113</v>
      </c>
      <c r="DD40" t="s">
        <v>114</v>
      </c>
    </row>
    <row r="41" spans="1:108" x14ac:dyDescent="0.35">
      <c r="A41" t="s">
        <v>146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4.693795885751368</v>
      </c>
      <c r="M41">
        <v>4.7526440215364749</v>
      </c>
      <c r="N41">
        <v>4.851463406000426</v>
      </c>
      <c r="O41">
        <v>4.7994569208365085</v>
      </c>
      <c r="P41">
        <v>4.9598312177973343</v>
      </c>
      <c r="Q41">
        <v>4.8008908660042815</v>
      </c>
      <c r="R41">
        <v>4.8061557174795979</v>
      </c>
      <c r="S41">
        <v>4.8437759688479725</v>
      </c>
      <c r="T41">
        <v>4.8403584212259103</v>
      </c>
      <c r="U41">
        <v>4.7790980590233776</v>
      </c>
      <c r="V41">
        <v>4.8652585206507712</v>
      </c>
      <c r="W41">
        <v>4.8301664422681601</v>
      </c>
      <c r="X41">
        <v>4.8792754992263259</v>
      </c>
      <c r="Y41">
        <v>4.8498558522199229</v>
      </c>
      <c r="Z41">
        <v>4.784974408118031</v>
      </c>
      <c r="AA41">
        <v>4.8591349552259908</v>
      </c>
      <c r="AB41">
        <v>4.8581847485550211</v>
      </c>
      <c r="AC41">
        <v>4.8763480048293042</v>
      </c>
      <c r="AD41">
        <v>4.8108571273880028</v>
      </c>
      <c r="AE41">
        <v>4.7927676724291226</v>
      </c>
      <c r="AF41">
        <v>4.8331700605419625</v>
      </c>
      <c r="AG41">
        <v>4.8555595611321607</v>
      </c>
      <c r="AH41">
        <v>4.8822552177401768</v>
      </c>
      <c r="AI41">
        <v>4.8594286689436732</v>
      </c>
      <c r="AJ41">
        <v>4.8799538532424327</v>
      </c>
      <c r="AK41">
        <v>4.8583096317297416</v>
      </c>
      <c r="AL41">
        <v>4.8943301679976914</v>
      </c>
      <c r="AM41">
        <v>4.8748511950657241</v>
      </c>
      <c r="AN41">
        <v>4.905929759166602</v>
      </c>
      <c r="AO41">
        <v>4.8639334952947983</v>
      </c>
      <c r="AP41">
        <v>4.833404931656788</v>
      </c>
      <c r="AQ41">
        <v>4.8401816581254185</v>
      </c>
      <c r="AR41">
        <v>4.8713051849212592</v>
      </c>
      <c r="AS41">
        <v>4.8495620672091704</v>
      </c>
      <c r="AT41">
        <v>4.8195262412209638</v>
      </c>
      <c r="AU41">
        <v>4.8111853740356221</v>
      </c>
      <c r="AV41">
        <v>4.8477291038682857</v>
      </c>
      <c r="AW41">
        <v>4.8365132783367191</v>
      </c>
      <c r="AX41">
        <v>4.8614461267117006</v>
      </c>
      <c r="AY41">
        <v>4.8721837683333415</v>
      </c>
      <c r="AZ41">
        <v>4.8581900355907006</v>
      </c>
      <c r="BA41">
        <v>4.865742539794458</v>
      </c>
      <c r="BB41">
        <v>4.8685670910083925</v>
      </c>
      <c r="BC41">
        <v>4.8813158448250364</v>
      </c>
      <c r="BD41">
        <v>4.8660303606778124</v>
      </c>
      <c r="BE41">
        <v>4.8725086084374691</v>
      </c>
      <c r="BF41">
        <v>4.8859554081659207</v>
      </c>
      <c r="BG41">
        <v>4.8634167708128668</v>
      </c>
      <c r="BH41">
        <v>4.8851196238045311</v>
      </c>
      <c r="BI41">
        <v>4.8771034591690112</v>
      </c>
      <c r="BJ41">
        <v>4.8826416114115121</v>
      </c>
      <c r="BK41">
        <v>4.8699862488882957</v>
      </c>
      <c r="BL41">
        <v>4.8500742212709005</v>
      </c>
      <c r="BM41">
        <v>4.8940126589388564</v>
      </c>
      <c r="BN41">
        <v>4.902080212935287</v>
      </c>
      <c r="BO41">
        <v>4.8726491220435637</v>
      </c>
      <c r="BP41">
        <v>4.8685167576651143</v>
      </c>
      <c r="BQ41">
        <v>4.8501904961951903</v>
      </c>
      <c r="BR41">
        <v>4.8647442686336317</v>
      </c>
      <c r="BS41">
        <v>4.8765328883667571</v>
      </c>
      <c r="BT41">
        <v>4.8739728572610117</v>
      </c>
      <c r="BU41">
        <v>4.8695954052512018</v>
      </c>
      <c r="BV41">
        <v>4.8735773899471528</v>
      </c>
      <c r="BW41">
        <v>4.8704429618938967</v>
      </c>
      <c r="BX41">
        <v>4.8780036310782036</v>
      </c>
      <c r="BY41">
        <v>4.869264329330842</v>
      </c>
      <c r="BZ41">
        <v>4.8661728280499696</v>
      </c>
      <c r="CA41">
        <v>4.8759880869003798</v>
      </c>
      <c r="CB41">
        <v>4.8813585232520369</v>
      </c>
      <c r="CC41">
        <v>4.8708237898574804</v>
      </c>
      <c r="CX41" t="s">
        <v>147</v>
      </c>
      <c r="CY41">
        <v>468</v>
      </c>
      <c r="CZ41" t="s">
        <v>110</v>
      </c>
      <c r="DA41" t="s">
        <v>148</v>
      </c>
      <c r="DB41" t="s">
        <v>112</v>
      </c>
      <c r="DC41" t="s">
        <v>113</v>
      </c>
      <c r="DD41" t="s">
        <v>114</v>
      </c>
    </row>
    <row r="42" spans="1:108" x14ac:dyDescent="0.35">
      <c r="A42" t="s">
        <v>149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4.1047457030369863</v>
      </c>
      <c r="M42">
        <v>4.0899019135242032</v>
      </c>
      <c r="N42">
        <v>4.3121747289069781</v>
      </c>
      <c r="O42">
        <v>4.2148580234766131</v>
      </c>
      <c r="P42">
        <v>4.1577668783485224</v>
      </c>
      <c r="Q42">
        <v>4.1941550652894257</v>
      </c>
      <c r="R42">
        <v>4.1916715592931766</v>
      </c>
      <c r="S42">
        <v>4.2338509126984523</v>
      </c>
      <c r="T42">
        <v>4.2771039090298766</v>
      </c>
      <c r="U42">
        <v>4.2088031922325699</v>
      </c>
      <c r="V42">
        <v>4.2841207504142274</v>
      </c>
      <c r="W42">
        <v>4.2606896389759381</v>
      </c>
      <c r="X42">
        <v>4.1694863730597902</v>
      </c>
      <c r="Y42">
        <v>4.2645843116699567</v>
      </c>
      <c r="Z42">
        <v>4.2022894720884221</v>
      </c>
      <c r="AA42">
        <v>4.2453139997766227</v>
      </c>
      <c r="AB42">
        <v>4.2557486245822549</v>
      </c>
      <c r="AC42">
        <v>4.2166327092627061</v>
      </c>
      <c r="AD42">
        <v>4.2196580556190426</v>
      </c>
      <c r="AE42">
        <v>4.3055027212219121</v>
      </c>
      <c r="AF42">
        <v>4.271043130658656</v>
      </c>
      <c r="AG42">
        <v>4.1913040851079026</v>
      </c>
      <c r="AH42">
        <v>4.2603673847000261</v>
      </c>
      <c r="AI42">
        <v>4.2948004913653746</v>
      </c>
      <c r="AJ42">
        <v>4.2126808805839797</v>
      </c>
      <c r="AK42">
        <v>4.2771746631263934</v>
      </c>
      <c r="AL42">
        <v>4.2534519145292338</v>
      </c>
      <c r="AM42">
        <v>4.3347787743962742</v>
      </c>
      <c r="AN42">
        <v>4.245511736761534</v>
      </c>
      <c r="AO42">
        <v>4.257402171027878</v>
      </c>
      <c r="AP42">
        <v>4.2939205514884486</v>
      </c>
      <c r="AQ42">
        <v>4.2630538770267288</v>
      </c>
      <c r="AR42">
        <v>4.223603274236023</v>
      </c>
      <c r="AS42">
        <v>4.2413589633246023</v>
      </c>
      <c r="AT42">
        <v>4.3273348608661042</v>
      </c>
      <c r="AU42">
        <v>4.293003233060805</v>
      </c>
      <c r="AV42">
        <v>4.2892416450700495</v>
      </c>
      <c r="AW42">
        <v>4.2704848182307487</v>
      </c>
      <c r="AX42">
        <v>4.2358473668287671</v>
      </c>
      <c r="AY42">
        <v>4.3033638736654245</v>
      </c>
      <c r="AZ42">
        <v>4.3016695772629117</v>
      </c>
      <c r="BA42">
        <v>4.2588534872636474</v>
      </c>
      <c r="BB42">
        <v>4.290743724269781</v>
      </c>
      <c r="BC42">
        <v>4.2761937875373999</v>
      </c>
      <c r="BD42">
        <v>4.2689630025833107</v>
      </c>
      <c r="BE42">
        <v>4.2739822978061106</v>
      </c>
      <c r="BF42">
        <v>4.2605429788709177</v>
      </c>
      <c r="BG42">
        <v>4.2860223400445969</v>
      </c>
      <c r="BH42">
        <v>4.2208653615375287</v>
      </c>
      <c r="BI42">
        <v>4.2855807233788106</v>
      </c>
      <c r="BJ42">
        <v>4.2861177502427594</v>
      </c>
      <c r="BK42">
        <v>4.2702933417224163</v>
      </c>
      <c r="BL42">
        <v>4.2691597708024096</v>
      </c>
      <c r="BM42">
        <v>4.2671108015098298</v>
      </c>
      <c r="BN42">
        <v>4.2489021959139741</v>
      </c>
      <c r="BO42">
        <v>4.2813785349929976</v>
      </c>
      <c r="BP42">
        <v>4.2915370883600188</v>
      </c>
      <c r="BQ42">
        <v>4.2840450506100973</v>
      </c>
      <c r="BR42">
        <v>4.2700676071636714</v>
      </c>
      <c r="BS42">
        <v>4.280129003918149</v>
      </c>
      <c r="BT42">
        <v>4.2813715357682423</v>
      </c>
      <c r="BU42">
        <v>4.3001748648203328</v>
      </c>
      <c r="BV42">
        <v>4.2613938424817848</v>
      </c>
      <c r="BW42">
        <v>4.2711746082710178</v>
      </c>
      <c r="BX42">
        <v>4.2690683125001865</v>
      </c>
      <c r="BY42">
        <v>4.2770247535269554</v>
      </c>
      <c r="BZ42">
        <v>4.2789508833949572</v>
      </c>
      <c r="CA42">
        <v>4.2690040968322203</v>
      </c>
      <c r="CB42">
        <v>4.2577054070262061</v>
      </c>
      <c r="CC42">
        <v>4.2657364825260649</v>
      </c>
      <c r="CD42">
        <v>4.2888370446770896</v>
      </c>
      <c r="CE42">
        <v>4.2721710063499492</v>
      </c>
      <c r="CF42">
        <v>4.2824740896236069</v>
      </c>
      <c r="CG42">
        <v>4.2806227544499071</v>
      </c>
      <c r="CH42">
        <v>4.2618433354749561</v>
      </c>
      <c r="CI42">
        <v>4.2915499690084538</v>
      </c>
      <c r="CJ42">
        <v>4.2865175077558986</v>
      </c>
      <c r="CK42">
        <v>4.284487377800601</v>
      </c>
      <c r="CL42">
        <v>4.2731295758516534</v>
      </c>
      <c r="CM42">
        <v>4.2750155437077231</v>
      </c>
      <c r="CX42" t="s">
        <v>150</v>
      </c>
      <c r="CY42">
        <v>468</v>
      </c>
      <c r="CZ42" t="s">
        <v>110</v>
      </c>
      <c r="DA42" t="s">
        <v>148</v>
      </c>
      <c r="DB42" t="s">
        <v>112</v>
      </c>
      <c r="DC42" t="s">
        <v>113</v>
      </c>
      <c r="DD42" t="s">
        <v>114</v>
      </c>
    </row>
    <row r="43" spans="1:108" x14ac:dyDescent="0.35">
      <c r="A43" t="s">
        <v>151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3.8736707717525816</v>
      </c>
      <c r="M43">
        <v>3.8277189564129288</v>
      </c>
      <c r="N43">
        <v>3.6885130676767375</v>
      </c>
      <c r="O43">
        <v>3.8684829146375694</v>
      </c>
      <c r="P43">
        <v>3.7015634068952088</v>
      </c>
      <c r="Q43">
        <v>3.9049752319211049</v>
      </c>
      <c r="R43">
        <v>3.793117474914951</v>
      </c>
      <c r="S43">
        <v>3.7593450845846581</v>
      </c>
      <c r="T43">
        <v>3.9464715575806033</v>
      </c>
      <c r="U43">
        <v>3.6989913478849439</v>
      </c>
      <c r="V43">
        <v>3.8242379855298592</v>
      </c>
      <c r="W43">
        <v>3.8001401287894052</v>
      </c>
      <c r="X43">
        <v>3.8637606970985914</v>
      </c>
      <c r="Y43">
        <v>3.8104920896041903</v>
      </c>
      <c r="Z43">
        <v>3.9075854411579471</v>
      </c>
      <c r="AA43">
        <v>3.8320622176826098</v>
      </c>
      <c r="AB43">
        <v>3.8497175136524446</v>
      </c>
      <c r="AC43">
        <v>3.8121315037600998</v>
      </c>
      <c r="AD43">
        <v>3.8340366549662863</v>
      </c>
      <c r="AE43">
        <v>3.8505378619156296</v>
      </c>
      <c r="AF43">
        <v>3.8783002079853417</v>
      </c>
      <c r="AG43">
        <v>3.8685557827337211</v>
      </c>
      <c r="AH43">
        <v>3.809471088118904</v>
      </c>
      <c r="AI43">
        <v>3.8521279134685953</v>
      </c>
      <c r="AJ43">
        <v>3.8193978604266929</v>
      </c>
      <c r="AK43">
        <v>3.8837283714021442</v>
      </c>
      <c r="AL43">
        <v>3.8600071355173542</v>
      </c>
      <c r="AM43">
        <v>3.8986281246812879</v>
      </c>
      <c r="AN43">
        <v>3.8489408757467198</v>
      </c>
      <c r="AO43">
        <v>3.8657357427847399</v>
      </c>
      <c r="AP43">
        <v>3.7894927362301272</v>
      </c>
      <c r="AQ43">
        <v>3.8578614106297606</v>
      </c>
      <c r="AR43">
        <v>3.8790682183344161</v>
      </c>
      <c r="AS43">
        <v>3.8609961899327612</v>
      </c>
      <c r="AT43">
        <v>3.8616644813805618</v>
      </c>
      <c r="AU43">
        <v>3.898648814826259</v>
      </c>
      <c r="AV43">
        <v>3.8600840677071839</v>
      </c>
      <c r="AW43">
        <v>3.8509901870848959</v>
      </c>
      <c r="AX43">
        <v>3.8628383636187671</v>
      </c>
      <c r="AY43">
        <v>3.873667313892609</v>
      </c>
      <c r="AZ43">
        <v>3.8604403826121718</v>
      </c>
      <c r="BA43">
        <v>3.8537365219706152</v>
      </c>
      <c r="BB43">
        <v>3.8661778170408616</v>
      </c>
      <c r="BC43">
        <v>3.8626325293347681</v>
      </c>
      <c r="BD43">
        <v>3.8742713350072528</v>
      </c>
      <c r="BE43">
        <v>3.8457790438373087</v>
      </c>
      <c r="BF43">
        <v>3.8681200405866569</v>
      </c>
      <c r="BG43">
        <v>3.867303361299824</v>
      </c>
      <c r="BH43">
        <v>3.886094774644453</v>
      </c>
      <c r="BI43">
        <v>3.8320399815142472</v>
      </c>
      <c r="BJ43">
        <v>3.8661279069846892</v>
      </c>
      <c r="BK43">
        <v>3.8666363349372586</v>
      </c>
      <c r="BL43">
        <v>3.8615887377794871</v>
      </c>
      <c r="BM43">
        <v>3.8592067186987129</v>
      </c>
      <c r="BN43">
        <v>3.8575425378840769</v>
      </c>
      <c r="BO43">
        <v>3.8610200332548392</v>
      </c>
      <c r="BP43">
        <v>3.8660069192554709</v>
      </c>
      <c r="BQ43">
        <v>3.8643979076952015</v>
      </c>
      <c r="BR43">
        <v>3.8657677461144697</v>
      </c>
      <c r="BS43">
        <v>3.8575429658029754</v>
      </c>
      <c r="CX43" t="s">
        <v>152</v>
      </c>
      <c r="CY43">
        <v>469</v>
      </c>
      <c r="CZ43" t="s">
        <v>110</v>
      </c>
      <c r="DA43" t="s">
        <v>148</v>
      </c>
      <c r="DB43" t="s">
        <v>112</v>
      </c>
      <c r="DC43" t="s">
        <v>113</v>
      </c>
      <c r="DD43" t="s">
        <v>114</v>
      </c>
    </row>
    <row r="44" spans="1:108" x14ac:dyDescent="0.35">
      <c r="A44" t="s">
        <v>153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3.7190657898077824</v>
      </c>
      <c r="M44">
        <v>3.5899840517397203</v>
      </c>
      <c r="N44">
        <v>3.6762702568668906</v>
      </c>
      <c r="O44">
        <v>3.6834518956378233</v>
      </c>
      <c r="P44">
        <v>3.6983532050178081</v>
      </c>
      <c r="Q44">
        <v>3.637566552401585</v>
      </c>
      <c r="R44">
        <v>3.7007756271363679</v>
      </c>
      <c r="S44">
        <v>3.7635077086015252</v>
      </c>
      <c r="T44">
        <v>3.5240289575092181</v>
      </c>
      <c r="U44">
        <v>3.6484388297407833</v>
      </c>
      <c r="V44">
        <v>3.769987407991727</v>
      </c>
      <c r="W44">
        <v>3.8278863332601367</v>
      </c>
      <c r="X44">
        <v>3.6955063262737209</v>
      </c>
      <c r="Y44">
        <v>3.6423611265194502</v>
      </c>
      <c r="Z44">
        <v>3.7252192618398423</v>
      </c>
      <c r="AA44">
        <v>3.7140741149778527</v>
      </c>
      <c r="AB44">
        <v>3.7128285350511341</v>
      </c>
      <c r="AC44">
        <v>3.708626832772274</v>
      </c>
      <c r="AD44">
        <v>3.7322015129773938</v>
      </c>
      <c r="AE44">
        <v>3.7363840952174736</v>
      </c>
      <c r="AF44">
        <v>3.6635793351627002</v>
      </c>
      <c r="AG44">
        <v>3.767079525150633</v>
      </c>
      <c r="AH44">
        <v>3.7778239018893598</v>
      </c>
      <c r="AI44">
        <v>3.6449320897294459</v>
      </c>
      <c r="AJ44">
        <v>3.7232084428866457</v>
      </c>
      <c r="AK44">
        <v>3.7050725913162839</v>
      </c>
      <c r="AL44">
        <v>3.6655526521319777</v>
      </c>
      <c r="AM44">
        <v>3.6933810669074392</v>
      </c>
      <c r="AN44">
        <v>3.7080216929689942</v>
      </c>
      <c r="AO44">
        <v>3.740300044058519</v>
      </c>
      <c r="AP44">
        <v>3.7343316494566055</v>
      </c>
      <c r="AQ44">
        <v>3.7280265597544502</v>
      </c>
      <c r="AR44">
        <v>3.7401335613043041</v>
      </c>
      <c r="AS44">
        <v>3.6986015179304856</v>
      </c>
      <c r="AT44">
        <v>3.6770999041549857</v>
      </c>
      <c r="AU44">
        <v>3.7334218654570552</v>
      </c>
      <c r="AV44">
        <v>3.7208128492877162</v>
      </c>
      <c r="AW44">
        <v>3.7338276593805442</v>
      </c>
      <c r="AX44">
        <v>3.7167217447023129</v>
      </c>
      <c r="AY44">
        <v>3.6828995430233649</v>
      </c>
      <c r="AZ44">
        <v>3.7366346060272089</v>
      </c>
      <c r="BA44">
        <v>3.7146314155057785</v>
      </c>
      <c r="BB44">
        <v>3.7236773088988993</v>
      </c>
      <c r="BC44">
        <v>3.7411875353563491</v>
      </c>
      <c r="BD44">
        <v>3.7514994894819313</v>
      </c>
      <c r="BE44">
        <v>3.719638156173807</v>
      </c>
      <c r="BF44">
        <v>3.7038162184794081</v>
      </c>
      <c r="BG44">
        <v>3.7054036619167543</v>
      </c>
      <c r="BH44">
        <v>3.7191179601187532</v>
      </c>
      <c r="BI44">
        <v>3.7093857608301297</v>
      </c>
      <c r="BJ44">
        <v>3.7232874277164898</v>
      </c>
      <c r="BK44">
        <v>3.7273794878327742</v>
      </c>
      <c r="BL44">
        <v>3.7222386818972231</v>
      </c>
      <c r="BM44">
        <v>3.7252997393219225</v>
      </c>
      <c r="BN44">
        <v>3.725971024302424</v>
      </c>
      <c r="BO44">
        <v>3.7278480121586335</v>
      </c>
      <c r="BP44">
        <v>3.7310721669913538</v>
      </c>
      <c r="BQ44">
        <v>3.7381062893862169</v>
      </c>
      <c r="BR44">
        <v>3.7261481648351209</v>
      </c>
      <c r="BS44">
        <v>3.7235523369594352</v>
      </c>
      <c r="CX44" t="s">
        <v>154</v>
      </c>
      <c r="CY44">
        <v>468</v>
      </c>
      <c r="CZ44" t="s">
        <v>110</v>
      </c>
      <c r="DA44" t="s">
        <v>148</v>
      </c>
      <c r="DB44" t="s">
        <v>112</v>
      </c>
      <c r="DC44" t="s">
        <v>113</v>
      </c>
      <c r="DD44" t="s">
        <v>114</v>
      </c>
    </row>
    <row r="45" spans="1:108" x14ac:dyDescent="0.35">
      <c r="A45" t="s">
        <v>155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4.1037613119869834</v>
      </c>
      <c r="M45">
        <v>4.039891345750644</v>
      </c>
      <c r="N45">
        <v>4.0499708916478969</v>
      </c>
      <c r="O45">
        <v>4.0518932248999144</v>
      </c>
      <c r="P45">
        <v>3.9374603830538391</v>
      </c>
      <c r="Q45">
        <v>4.0332757001293142</v>
      </c>
      <c r="R45">
        <v>4.0009960569652288</v>
      </c>
      <c r="S45">
        <v>4.2960168114608184</v>
      </c>
      <c r="T45">
        <v>4.0738047863642466</v>
      </c>
      <c r="U45">
        <v>4.0902354413146167</v>
      </c>
      <c r="V45">
        <v>4.070123158839638</v>
      </c>
      <c r="W45">
        <v>4.1423707271712544</v>
      </c>
      <c r="X45">
        <v>4.1243964468750285</v>
      </c>
      <c r="Y45">
        <v>4.1844568129512538</v>
      </c>
      <c r="Z45">
        <v>4.0851863737077458</v>
      </c>
      <c r="AA45">
        <v>4.0603420832393491</v>
      </c>
      <c r="AB45">
        <v>4.1531054546024997</v>
      </c>
      <c r="AC45">
        <v>4.0997992052294432</v>
      </c>
      <c r="AD45">
        <v>4.116269582877643</v>
      </c>
      <c r="AE45">
        <v>4.0796155126659626</v>
      </c>
      <c r="AF45">
        <v>4.140127938832614</v>
      </c>
      <c r="AG45">
        <v>4.1632958007360408</v>
      </c>
      <c r="AH45">
        <v>4.1302354780184594</v>
      </c>
      <c r="AI45">
        <v>4.1232459213718391</v>
      </c>
      <c r="AJ45">
        <v>4.1881131892867813</v>
      </c>
      <c r="AK45">
        <v>4.177079653446393</v>
      </c>
      <c r="AL45">
        <v>4.1881847348570505</v>
      </c>
      <c r="AM45">
        <v>4.1289351713441285</v>
      </c>
      <c r="AN45">
        <v>4.1422377576564076</v>
      </c>
      <c r="AO45">
        <v>4.0839738478519534</v>
      </c>
      <c r="AP45">
        <v>4.1400019032206572</v>
      </c>
      <c r="AQ45">
        <v>4.1108520692530437</v>
      </c>
      <c r="AR45">
        <v>4.1116644182738042</v>
      </c>
      <c r="AS45">
        <v>4.1249741133714108</v>
      </c>
      <c r="AT45">
        <v>4.1369492297339336</v>
      </c>
      <c r="AU45">
        <v>4.1551459440140599</v>
      </c>
      <c r="AV45">
        <v>4.1633311723269939</v>
      </c>
      <c r="AW45">
        <v>4.1370380355206295</v>
      </c>
      <c r="AX45">
        <v>4.1326092576376654</v>
      </c>
      <c r="AY45">
        <v>4.0999654969760604</v>
      </c>
      <c r="AZ45">
        <v>4.1523857925925638</v>
      </c>
      <c r="BA45">
        <v>4.1638383958795018</v>
      </c>
      <c r="BB45">
        <v>4.157282045131506</v>
      </c>
      <c r="BC45">
        <v>4.1663423356055391</v>
      </c>
      <c r="BD45">
        <v>4.1664005964602069</v>
      </c>
      <c r="BE45">
        <v>4.1494011173784919</v>
      </c>
      <c r="BF45">
        <v>4.1182564161438728</v>
      </c>
      <c r="BG45">
        <v>4.1446354461162711</v>
      </c>
      <c r="BH45">
        <v>4.1547468860206473</v>
      </c>
      <c r="BI45">
        <v>4.1484433704592849</v>
      </c>
      <c r="BJ45">
        <v>4.1447764272897007</v>
      </c>
      <c r="BK45">
        <v>4.1345113320574836</v>
      </c>
      <c r="BL45">
        <v>4.1538037346074379</v>
      </c>
      <c r="BM45">
        <v>4.1699730709600518</v>
      </c>
      <c r="BN45">
        <v>4.1438991520610573</v>
      </c>
      <c r="BO45">
        <v>4.1532035748541469</v>
      </c>
      <c r="BP45">
        <v>4.1438107278030518</v>
      </c>
      <c r="BQ45">
        <v>4.1473281428540005</v>
      </c>
      <c r="BR45">
        <v>4.1428433092865031</v>
      </c>
      <c r="BS45">
        <v>4.1486997716691834</v>
      </c>
      <c r="BT45">
        <v>4.1390864530280531</v>
      </c>
      <c r="BU45">
        <v>4.1482600865129973</v>
      </c>
      <c r="BV45">
        <v>4.1489001848813958</v>
      </c>
      <c r="BW45">
        <v>4.1523358908283434</v>
      </c>
      <c r="BX45">
        <v>4.1433696571689538</v>
      </c>
      <c r="BY45">
        <v>4.1670340051757302</v>
      </c>
      <c r="BZ45">
        <v>4.1520570667468242</v>
      </c>
      <c r="CA45">
        <v>4.141291014309914</v>
      </c>
      <c r="CB45">
        <v>4.152097274527959</v>
      </c>
      <c r="CC45">
        <v>4.1406300807619205</v>
      </c>
      <c r="CX45" t="s">
        <v>156</v>
      </c>
      <c r="CY45">
        <v>469</v>
      </c>
      <c r="CZ45" t="s">
        <v>110</v>
      </c>
      <c r="DA45" t="s">
        <v>148</v>
      </c>
      <c r="DB45" t="s">
        <v>112</v>
      </c>
      <c r="DC45" t="s">
        <v>113</v>
      </c>
      <c r="DD45" t="s">
        <v>114</v>
      </c>
    </row>
    <row r="46" spans="1:108" x14ac:dyDescent="0.35">
      <c r="A46" t="s">
        <v>163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4.8660355582336852</v>
      </c>
      <c r="M46">
        <v>4.9893830342640539</v>
      </c>
      <c r="N46">
        <v>5.0309645297906931</v>
      </c>
      <c r="O46">
        <v>4.8877222910298688</v>
      </c>
      <c r="P46">
        <v>4.9809541153901851</v>
      </c>
      <c r="Q46">
        <v>4.9606103615064834</v>
      </c>
      <c r="R46">
        <v>4.8986202907608272</v>
      </c>
      <c r="S46">
        <v>4.9830314626074967</v>
      </c>
      <c r="T46">
        <v>4.9422726525101597</v>
      </c>
      <c r="U46">
        <v>4.9581115893332095</v>
      </c>
      <c r="V46">
        <v>5.0324604174720173</v>
      </c>
      <c r="W46">
        <v>4.9754129725280833</v>
      </c>
      <c r="X46">
        <v>4.9809477858682394</v>
      </c>
      <c r="Y46">
        <v>4.9390556759428765</v>
      </c>
      <c r="Z46">
        <v>4.9553264066598253</v>
      </c>
      <c r="AA46">
        <v>4.9727728849136223</v>
      </c>
      <c r="AB46">
        <v>5.008845445614531</v>
      </c>
      <c r="AC46">
        <v>4.9328792428113815</v>
      </c>
      <c r="AD46">
        <v>4.9596175915460856</v>
      </c>
      <c r="AE46">
        <v>4.9508442077821666</v>
      </c>
      <c r="AF46">
        <v>4.9896048621137021</v>
      </c>
      <c r="AG46">
        <v>4.9992263039627138</v>
      </c>
      <c r="AH46">
        <v>4.9509000107147187</v>
      </c>
      <c r="AI46">
        <v>5.0040244756955294</v>
      </c>
      <c r="AJ46">
        <v>4.9665374015877823</v>
      </c>
      <c r="AK46">
        <v>4.9987566928278948</v>
      </c>
      <c r="AL46">
        <v>4.9824436503075225</v>
      </c>
      <c r="AM46">
        <v>4.9859558539058719</v>
      </c>
      <c r="AN46">
        <v>5.0213953402264471</v>
      </c>
      <c r="AO46">
        <v>5.0291572520205801</v>
      </c>
      <c r="CX46" t="s">
        <v>164</v>
      </c>
      <c r="CY46">
        <v>469</v>
      </c>
      <c r="CZ46" t="s">
        <v>110</v>
      </c>
      <c r="DA46" t="s">
        <v>148</v>
      </c>
      <c r="DB46" t="s">
        <v>112</v>
      </c>
      <c r="DC46" t="s">
        <v>113</v>
      </c>
      <c r="DD46" t="s">
        <v>114</v>
      </c>
    </row>
    <row r="47" spans="1:108" x14ac:dyDescent="0.35">
      <c r="A47" t="s">
        <v>170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4.12408829827468</v>
      </c>
      <c r="M47">
        <v>4.1359820431951446</v>
      </c>
      <c r="N47">
        <v>4.0959127876499553</v>
      </c>
      <c r="O47">
        <v>4.2196244950249309</v>
      </c>
      <c r="P47">
        <v>4.1159763821764352</v>
      </c>
      <c r="Q47">
        <v>4.2433040642743114</v>
      </c>
      <c r="R47">
        <v>4.1327729900447698</v>
      </c>
      <c r="S47">
        <v>4.185765156789043</v>
      </c>
      <c r="T47">
        <v>4.055981063173637</v>
      </c>
      <c r="U47">
        <v>4.1002379243998757</v>
      </c>
      <c r="V47">
        <v>4.1260707378226922</v>
      </c>
      <c r="W47">
        <v>4.1411478111034974</v>
      </c>
      <c r="X47">
        <v>4.0813614611058089</v>
      </c>
      <c r="Y47">
        <v>4.1735896297856749</v>
      </c>
      <c r="Z47">
        <v>4.1609613679763493</v>
      </c>
      <c r="AA47">
        <v>4.1475965313512724</v>
      </c>
      <c r="AB47">
        <v>4.1191258047268091</v>
      </c>
      <c r="AC47">
        <v>4.1336817794479837</v>
      </c>
      <c r="AD47">
        <v>4.1220496939588793</v>
      </c>
      <c r="AE47">
        <v>4.1676895774399503</v>
      </c>
      <c r="AF47">
        <v>4.119925946680099</v>
      </c>
      <c r="AG47">
        <v>4.1393711730422487</v>
      </c>
      <c r="AH47">
        <v>4.1218394361651098</v>
      </c>
      <c r="AI47">
        <v>4.1380003970790362</v>
      </c>
      <c r="AJ47">
        <v>4.1782799716482124</v>
      </c>
      <c r="AK47">
        <v>4.1211121708474838</v>
      </c>
      <c r="AL47">
        <v>4.1849939376491774</v>
      </c>
      <c r="AM47">
        <v>4.1559836207962073</v>
      </c>
      <c r="AN47">
        <v>4.1900592529763925</v>
      </c>
      <c r="AO47">
        <v>4.124418540262571</v>
      </c>
      <c r="AP47">
        <v>4.0993396482709121</v>
      </c>
      <c r="AQ47">
        <v>4.1459722092433386</v>
      </c>
      <c r="AR47">
        <v>4.2017692794955055</v>
      </c>
      <c r="AS47">
        <v>4.1609704979107063</v>
      </c>
      <c r="AT47">
        <v>4.1431644704002091</v>
      </c>
      <c r="AU47">
        <v>4.1539326441338087</v>
      </c>
      <c r="AV47">
        <v>4.1767542360772518</v>
      </c>
      <c r="AW47">
        <v>4.1310612681232728</v>
      </c>
      <c r="AX47">
        <v>4.0860134878706882</v>
      </c>
      <c r="AY47">
        <v>4.1753639057352618</v>
      </c>
      <c r="AZ47">
        <v>4.1786585383422157</v>
      </c>
      <c r="BA47">
        <v>4.1412772789491337</v>
      </c>
      <c r="BB47">
        <v>4.1411523140588917</v>
      </c>
      <c r="BC47">
        <v>4.1489443206282939</v>
      </c>
      <c r="BD47">
        <v>4.1507917733181783</v>
      </c>
      <c r="BE47">
        <v>4.1108252079266938</v>
      </c>
      <c r="BF47">
        <v>4.1663083768285061</v>
      </c>
      <c r="BG47">
        <v>4.1225366876199017</v>
      </c>
      <c r="BH47">
        <v>4.153464156809088</v>
      </c>
      <c r="BI47">
        <v>4.1613209817545922</v>
      </c>
      <c r="BJ47">
        <v>4.1328111525053606</v>
      </c>
      <c r="BK47">
        <v>4.1565642967898668</v>
      </c>
      <c r="BL47">
        <v>4.1492596771673558</v>
      </c>
      <c r="BM47">
        <v>4.1274917443178794</v>
      </c>
      <c r="BN47">
        <v>4.1876254666899762</v>
      </c>
      <c r="BO47">
        <v>4.1566087798103659</v>
      </c>
      <c r="BP47">
        <v>4.165348721690191</v>
      </c>
      <c r="BQ47">
        <v>4.1584433186981631</v>
      </c>
      <c r="BR47">
        <v>4.1393248734229333</v>
      </c>
      <c r="BS47">
        <v>4.1563181414086605</v>
      </c>
      <c r="BT47">
        <v>4.1625294405377478</v>
      </c>
      <c r="BU47">
        <v>4.1395341403256669</v>
      </c>
      <c r="BV47">
        <v>4.1748837393261278</v>
      </c>
      <c r="BW47">
        <v>4.1795553807383179</v>
      </c>
      <c r="BX47">
        <v>4.1528383641525197</v>
      </c>
      <c r="BY47">
        <v>4.1628019061903601</v>
      </c>
      <c r="BZ47">
        <v>4.1579022296152308</v>
      </c>
      <c r="CA47">
        <v>4.1771884917917177</v>
      </c>
      <c r="CB47">
        <v>4.151980619490903</v>
      </c>
      <c r="CC47">
        <v>4.1536573525279765</v>
      </c>
      <c r="CD47">
        <v>4.1468753046296376</v>
      </c>
      <c r="CE47">
        <v>4.1600159648347406</v>
      </c>
      <c r="CF47">
        <v>4.1695657409327413</v>
      </c>
      <c r="CG47">
        <v>4.1559348120504369</v>
      </c>
      <c r="CH47">
        <v>4.1482750611203789</v>
      </c>
      <c r="CI47">
        <v>4.1440193420986828</v>
      </c>
      <c r="CJ47">
        <v>4.1629051017042871</v>
      </c>
      <c r="CK47">
        <v>4.1437243321960846</v>
      </c>
      <c r="CL47">
        <v>4.1583197412415549</v>
      </c>
      <c r="CM47">
        <v>4.1584265094131432</v>
      </c>
      <c r="CX47" t="s">
        <v>171</v>
      </c>
      <c r="CY47">
        <v>468</v>
      </c>
      <c r="CZ47" t="s">
        <v>110</v>
      </c>
      <c r="DA47" t="s">
        <v>148</v>
      </c>
      <c r="DB47" t="s">
        <v>112</v>
      </c>
      <c r="DC47" t="s">
        <v>113</v>
      </c>
      <c r="DD47" t="s">
        <v>114</v>
      </c>
    </row>
    <row r="48" spans="1:108" x14ac:dyDescent="0.35">
      <c r="A48" t="s">
        <v>177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3.865958284631076</v>
      </c>
      <c r="M48">
        <v>3.9079801162063497</v>
      </c>
      <c r="N48">
        <v>3.9754938265380897</v>
      </c>
      <c r="O48">
        <v>3.9375473199737079</v>
      </c>
      <c r="P48">
        <v>3.8679776778394577</v>
      </c>
      <c r="Q48">
        <v>3.8559128544900689</v>
      </c>
      <c r="R48">
        <v>3.8458435358112402</v>
      </c>
      <c r="S48">
        <v>3.815873555571673</v>
      </c>
      <c r="T48">
        <v>3.8954570937681892</v>
      </c>
      <c r="U48">
        <v>3.8433143295758665</v>
      </c>
      <c r="V48">
        <v>3.8506061488577399</v>
      </c>
      <c r="W48">
        <v>3.8212124785786878</v>
      </c>
      <c r="X48">
        <v>3.8807993729694159</v>
      </c>
      <c r="Y48">
        <v>3.9144552244184792</v>
      </c>
      <c r="Z48">
        <v>3.9173701035375248</v>
      </c>
      <c r="AA48">
        <v>3.8976591939538778</v>
      </c>
      <c r="AB48">
        <v>3.9314277805917448</v>
      </c>
      <c r="AC48">
        <v>3.8881517430306878</v>
      </c>
      <c r="AD48">
        <v>3.8507928101660558</v>
      </c>
      <c r="AE48">
        <v>3.9634212313544985</v>
      </c>
      <c r="AF48">
        <v>3.8993507529171945</v>
      </c>
      <c r="AG48">
        <v>3.8087819837622572</v>
      </c>
      <c r="AH48">
        <v>3.9694940503057188</v>
      </c>
      <c r="AI48">
        <v>3.8320704306015752</v>
      </c>
      <c r="AJ48">
        <v>3.900475842976137</v>
      </c>
      <c r="AK48">
        <v>3.8580950477213514</v>
      </c>
      <c r="AL48">
        <v>3.8961194975577058</v>
      </c>
      <c r="AM48">
        <v>3.9610782215466456</v>
      </c>
      <c r="AN48">
        <v>3.875886621604149</v>
      </c>
      <c r="AO48">
        <v>3.8386734104440481</v>
      </c>
      <c r="AP48">
        <v>3.8881896981205331</v>
      </c>
      <c r="AQ48">
        <v>3.849480871064503</v>
      </c>
      <c r="AR48">
        <v>3.859442140622551</v>
      </c>
      <c r="AS48">
        <v>3.9036935020195394</v>
      </c>
      <c r="AT48">
        <v>3.875150086270045</v>
      </c>
      <c r="AU48">
        <v>3.945492491042907</v>
      </c>
      <c r="AV48">
        <v>3.8773185913656478</v>
      </c>
      <c r="AW48">
        <v>3.8650483462827641</v>
      </c>
      <c r="AX48">
        <v>3.9172554589954349</v>
      </c>
      <c r="AY48">
        <v>3.8952608221364726</v>
      </c>
      <c r="AZ48">
        <v>3.9099756242470369</v>
      </c>
      <c r="BA48">
        <v>3.8843344113978175</v>
      </c>
      <c r="BB48">
        <v>3.9077774752814829</v>
      </c>
      <c r="BC48">
        <v>3.9088333084600952</v>
      </c>
      <c r="BD48">
        <v>3.9078673242783211</v>
      </c>
      <c r="BE48">
        <v>3.9066965705045402</v>
      </c>
      <c r="BF48">
        <v>3.9021869220194119</v>
      </c>
      <c r="BG48">
        <v>3.8699276968602159</v>
      </c>
      <c r="BH48">
        <v>3.884505277676868</v>
      </c>
      <c r="BI48">
        <v>3.8808516617455542</v>
      </c>
      <c r="BJ48">
        <v>3.910178949029429</v>
      </c>
      <c r="BK48">
        <v>3.8865384416930251</v>
      </c>
      <c r="BL48">
        <v>3.8894313002471099</v>
      </c>
      <c r="BM48">
        <v>3.9011289530911513</v>
      </c>
      <c r="BN48">
        <v>3.9095309566067216</v>
      </c>
      <c r="BO48">
        <v>3.9096577912246486</v>
      </c>
      <c r="BP48">
        <v>3.8766676977278047</v>
      </c>
      <c r="BQ48">
        <v>3.8903264239892521</v>
      </c>
      <c r="BR48">
        <v>3.917649617103478</v>
      </c>
      <c r="BS48">
        <v>3.9124640434016822</v>
      </c>
      <c r="BT48">
        <v>3.902980367491995</v>
      </c>
      <c r="BU48">
        <v>3.9055601134523701</v>
      </c>
      <c r="BV48">
        <v>3.895489169414077</v>
      </c>
      <c r="BW48">
        <v>3.8916724265493454</v>
      </c>
      <c r="BX48">
        <v>3.9019712513547504</v>
      </c>
      <c r="BY48">
        <v>3.8986311201151502</v>
      </c>
      <c r="BZ48">
        <v>3.8838196493847361</v>
      </c>
      <c r="CA48">
        <v>3.891538638899521</v>
      </c>
      <c r="CB48">
        <v>3.905785352324167</v>
      </c>
      <c r="CC48">
        <v>3.8936501759406856</v>
      </c>
      <c r="CX48" t="s">
        <v>178</v>
      </c>
      <c r="CY48">
        <v>469</v>
      </c>
      <c r="CZ48" t="s">
        <v>110</v>
      </c>
      <c r="DA48" t="s">
        <v>148</v>
      </c>
      <c r="DB48" t="s">
        <v>112</v>
      </c>
      <c r="DC48" t="s">
        <v>113</v>
      </c>
      <c r="DD48" t="s">
        <v>114</v>
      </c>
    </row>
    <row r="49" spans="1:108" x14ac:dyDescent="0.35">
      <c r="A49" t="s">
        <v>201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4.1079912973951584</v>
      </c>
      <c r="M49">
        <v>4.1308700798472255</v>
      </c>
      <c r="N49">
        <v>3.9832919574180878</v>
      </c>
      <c r="O49">
        <v>4.0713888234232165</v>
      </c>
      <c r="P49">
        <v>4.1071220535631738</v>
      </c>
      <c r="Q49">
        <v>4.0466689574390511</v>
      </c>
      <c r="R49">
        <v>4.1136059364964845</v>
      </c>
      <c r="S49">
        <v>4.0731159245076318</v>
      </c>
      <c r="T49">
        <v>4.027579218388599</v>
      </c>
      <c r="U49">
        <v>4.0167355537350851</v>
      </c>
      <c r="V49">
        <v>4.0777406924347996</v>
      </c>
      <c r="W49">
        <v>4.0493684055595329</v>
      </c>
      <c r="X49">
        <v>4.132457641026865</v>
      </c>
      <c r="Y49">
        <v>4.0870918461533368</v>
      </c>
      <c r="Z49">
        <v>4.114803721095865</v>
      </c>
      <c r="AA49">
        <v>4.0655695840224366</v>
      </c>
      <c r="AB49">
        <v>4.1307111478733436</v>
      </c>
      <c r="AC49">
        <v>4.1661286555877446</v>
      </c>
      <c r="AD49">
        <v>4.133164170618107</v>
      </c>
      <c r="AE49">
        <v>4.1457953271875612</v>
      </c>
      <c r="AF49">
        <v>4.137641578752203</v>
      </c>
      <c r="AG49">
        <v>4.1072050610342457</v>
      </c>
      <c r="AH49">
        <v>4.1332047101721718</v>
      </c>
      <c r="AI49">
        <v>4.1457266634098753</v>
      </c>
      <c r="AJ49">
        <v>4.1801861329310412</v>
      </c>
      <c r="AK49">
        <v>4.0997885380782817</v>
      </c>
      <c r="AL49">
        <v>4.0768133413379308</v>
      </c>
      <c r="AM49">
        <v>4.1228590286695255</v>
      </c>
      <c r="AN49">
        <v>4.1045338914526086</v>
      </c>
      <c r="AO49">
        <v>4.1265189627655792</v>
      </c>
      <c r="AP49">
        <v>4.1316110999388691</v>
      </c>
      <c r="AQ49">
        <v>4.1420553361465018</v>
      </c>
      <c r="AR49">
        <v>4.1524325706638265</v>
      </c>
      <c r="AS49">
        <v>4.1108060883805608</v>
      </c>
      <c r="AT49">
        <v>4.1375759489306185</v>
      </c>
      <c r="AU49">
        <v>4.0926938410619114</v>
      </c>
      <c r="AV49">
        <v>4.1529184757800683</v>
      </c>
      <c r="AW49">
        <v>4.1168142092001334</v>
      </c>
      <c r="AX49">
        <v>4.1211488472798514</v>
      </c>
      <c r="AY49">
        <v>4.1640339136903535</v>
      </c>
      <c r="AZ49">
        <v>4.1126404245351162</v>
      </c>
      <c r="BA49">
        <v>4.1718798432084281</v>
      </c>
      <c r="BB49">
        <v>4.1307294896504159</v>
      </c>
      <c r="BC49">
        <v>4.1164004236264056</v>
      </c>
      <c r="BD49">
        <v>4.1324325889148801</v>
      </c>
      <c r="BE49">
        <v>4.14441369580529</v>
      </c>
      <c r="BF49">
        <v>4.1511336582737144</v>
      </c>
      <c r="BG49">
        <v>4.1531312627779444</v>
      </c>
      <c r="BH49">
        <v>4.1576196045963778</v>
      </c>
      <c r="BI49">
        <v>4.1537098283837501</v>
      </c>
      <c r="BJ49">
        <v>4.1393679681042803</v>
      </c>
      <c r="BK49">
        <v>4.1439831467441239</v>
      </c>
      <c r="BL49">
        <v>4.1328443125172658</v>
      </c>
      <c r="BM49">
        <v>4.1556559389716927</v>
      </c>
      <c r="BN49">
        <v>4.0996500919307097</v>
      </c>
      <c r="BO49">
        <v>4.1275595564084719</v>
      </c>
      <c r="BP49">
        <v>4.1425961816667654</v>
      </c>
      <c r="BQ49">
        <v>4.1293259215122218</v>
      </c>
      <c r="BR49">
        <v>4.1628232816843065</v>
      </c>
      <c r="BS49">
        <v>4.1249918171826714</v>
      </c>
      <c r="BT49">
        <v>4.1331851827944002</v>
      </c>
      <c r="BU49">
        <v>4.1274629003085401</v>
      </c>
      <c r="BV49">
        <v>4.1136992934319423</v>
      </c>
      <c r="BW49">
        <v>4.1540159508980752</v>
      </c>
      <c r="BX49">
        <v>4.1419897865309538</v>
      </c>
      <c r="BY49">
        <v>4.1424906858791122</v>
      </c>
      <c r="BZ49">
        <v>4.1461241870571071</v>
      </c>
      <c r="CA49">
        <v>4.1543376114227044</v>
      </c>
      <c r="CB49">
        <v>4.1643886595351578</v>
      </c>
      <c r="CC49">
        <v>4.1453064959077972</v>
      </c>
      <c r="CD49">
        <v>4.1417367121079938</v>
      </c>
      <c r="CE49">
        <v>4.1396018800723535</v>
      </c>
      <c r="CF49">
        <v>4.1417848764095524</v>
      </c>
      <c r="CG49">
        <v>4.1499206583916761</v>
      </c>
      <c r="CH49">
        <v>4.1409897369562474</v>
      </c>
      <c r="CI49">
        <v>4.1401915941596119</v>
      </c>
      <c r="CJ49">
        <v>4.1420029041188906</v>
      </c>
      <c r="CK49">
        <v>4.1436584732704187</v>
      </c>
      <c r="CL49">
        <v>4.1384389748517902</v>
      </c>
      <c r="CM49">
        <v>4.1332251436767349</v>
      </c>
      <c r="CX49" t="s">
        <v>202</v>
      </c>
      <c r="CY49">
        <v>437</v>
      </c>
      <c r="CZ49" t="s">
        <v>117</v>
      </c>
      <c r="DA49" t="s">
        <v>121</v>
      </c>
      <c r="DB49" t="s">
        <v>112</v>
      </c>
      <c r="DC49" t="s">
        <v>113</v>
      </c>
      <c r="DD49" t="s">
        <v>118</v>
      </c>
    </row>
    <row r="53" spans="1:108" x14ac:dyDescent="0.35">
      <c r="C53" t="s">
        <v>233</v>
      </c>
    </row>
    <row r="54" spans="1:108" x14ac:dyDescent="0.35">
      <c r="D54" t="s">
        <v>234</v>
      </c>
      <c r="E54" t="s">
        <v>230</v>
      </c>
      <c r="F54" t="s">
        <v>231</v>
      </c>
    </row>
    <row r="55" spans="1:108" x14ac:dyDescent="0.35">
      <c r="C55" t="s">
        <v>220</v>
      </c>
      <c r="D55">
        <f>AVERAGE(B2:K25)</f>
        <v>0</v>
      </c>
      <c r="E55">
        <f>_xlfn.PERCENTILE.INC(B2:K25,0.25)</f>
        <v>0</v>
      </c>
      <c r="F55">
        <f>_xlfn.PERCENTILE.INC(B2:K25,0.75)</f>
        <v>0</v>
      </c>
    </row>
    <row r="56" spans="1:108" x14ac:dyDescent="0.35">
      <c r="C56" t="s">
        <v>221</v>
      </c>
      <c r="D56">
        <f>MEDIAN(L2:U25)</f>
        <v>3.672572999763061</v>
      </c>
      <c r="E56">
        <f>_xlfn.PERCENTILE.INC(L2:U25, 0.25)</f>
        <v>3.4495432942861122</v>
      </c>
      <c r="F56">
        <f>_xlfn.PERCENTILE.INC(L2:U25,0.75)</f>
        <v>3.8838072180921697</v>
      </c>
    </row>
    <row r="57" spans="1:108" x14ac:dyDescent="0.35">
      <c r="C57" t="s">
        <v>222</v>
      </c>
      <c r="D57">
        <f>MEDIAN(V2:AE25)</f>
        <v>3.7136387269594779</v>
      </c>
      <c r="E57">
        <f>_xlfn.PERCENTILE.INC(V2:AE25, 0.25)</f>
        <v>3.4610997930044793</v>
      </c>
      <c r="F57">
        <f>_xlfn.PERCENTILE.INC(V2:AE25, 0.75)</f>
        <v>3.9728130253196223</v>
      </c>
    </row>
    <row r="58" spans="1:108" x14ac:dyDescent="0.35">
      <c r="C58" t="s">
        <v>223</v>
      </c>
      <c r="D58">
        <f>MEDIAN(AF2:AO25)</f>
        <v>3.7119952716881142</v>
      </c>
      <c r="E58">
        <f>_xlfn.PERCENTILE.INC(AF2:AO25, 0.25)</f>
        <v>3.4789924034677324</v>
      </c>
      <c r="F58">
        <f>_xlfn.PERCENTILE.INC(AF2:AO25, 0.75)</f>
        <v>3.9792902593384101</v>
      </c>
    </row>
    <row r="59" spans="1:108" x14ac:dyDescent="0.35">
      <c r="C59" t="s">
        <v>224</v>
      </c>
      <c r="D59">
        <f>MEDIAN(AP2:AY25)</f>
        <v>3.7165002753588068</v>
      </c>
      <c r="E59">
        <f>_xlfn.PERCENTILE.INC(AP2:AY25, 0.25)</f>
        <v>3.4663532719183348</v>
      </c>
      <c r="F59">
        <f>_xlfn.PERCENTILE.INC(AP2:AY25, 0.75)</f>
        <v>4.0062194457801708</v>
      </c>
      <c r="H59" t="s">
        <v>232</v>
      </c>
    </row>
    <row r="60" spans="1:108" x14ac:dyDescent="0.35">
      <c r="C60" t="s">
        <v>225</v>
      </c>
      <c r="D60">
        <f>MEDIAN(AZ2:BI25)</f>
        <v>3.7339465050710556</v>
      </c>
      <c r="E60">
        <f>_xlfn.PERCENTILE.INC(AZ2:BI25, 0.25)</f>
        <v>3.473953510332854</v>
      </c>
      <c r="F60">
        <f>_xlfn.PERCENTILE.INC(AZ2:BI25, 0.75)</f>
        <v>4.0122880336737268</v>
      </c>
    </row>
    <row r="61" spans="1:108" x14ac:dyDescent="0.35">
      <c r="C61" t="s">
        <v>226</v>
      </c>
      <c r="D61">
        <f>MEDIAN(BJ2:BS25)</f>
        <v>3.7266361027505175</v>
      </c>
      <c r="E61">
        <f>_xlfn.PERCENTILE.INC(BJ2:BS25, 0.25)</f>
        <v>3.4713279689144194</v>
      </c>
      <c r="F61">
        <f>_xlfn.PERCENTILE.INC(BJ2:BS25, 0.75)</f>
        <v>4.0210606252532664</v>
      </c>
    </row>
    <row r="62" spans="1:108" x14ac:dyDescent="0.35">
      <c r="C62" t="s">
        <v>227</v>
      </c>
      <c r="D62">
        <f>MEDIAN(BT2:CC25)</f>
        <v>3.7565599983472384</v>
      </c>
      <c r="E62">
        <f>_xlfn.PERCENTILE.INC(BT2:CC25, 0.25)</f>
        <v>3.4388769457181971</v>
      </c>
      <c r="F62">
        <f>_xlfn.PERCENTILE.INC(BT2:CC25, 0.75)</f>
        <v>4.0614300147810045</v>
      </c>
    </row>
    <row r="63" spans="1:108" x14ac:dyDescent="0.35">
      <c r="C63" t="s">
        <v>228</v>
      </c>
      <c r="D63">
        <f>MEDIAN(CD2:CM25)</f>
        <v>3.8501260076529089</v>
      </c>
      <c r="E63">
        <f>_xlfn.PERCENTILE.INC(CD2:CM25, 0.25)</f>
        <v>3.648126917191802</v>
      </c>
      <c r="F63">
        <f>_xlfn.PERCENTILE.INC(CD2:CM25, 0.75)</f>
        <v>4.1289764209447313</v>
      </c>
    </row>
    <row r="64" spans="1:108" x14ac:dyDescent="0.35">
      <c r="C64" t="s">
        <v>229</v>
      </c>
      <c r="D64">
        <f>MEDIAN(CN2:CW25)</f>
        <v>4.0203879610306332</v>
      </c>
      <c r="E64">
        <f>_xlfn.PERCENTILE.INC(CN2:CW25, 0.25)</f>
        <v>3.7974529350714823</v>
      </c>
      <c r="F64">
        <f>_xlfn.PERCENTILE.INC(CN2:CW25, 0.75)</f>
        <v>4.1449273838674543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9F2B1-F5ED-4313-BC82-E05394A9F12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99321A-F5EB-45F5-A277-B1E42C237E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rarefaction_analysis_ad_shannon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Hess  Andrea</dc:creator>
  <cp:lastModifiedBy>Hess  Andrea</cp:lastModifiedBy>
  <dcterms:created xsi:type="dcterms:W3CDTF">2026-06-29T14:53:01Z</dcterms:created>
  <dcterms:modified xsi:type="dcterms:W3CDTF">2026-06-30T13:14:03Z</dcterms:modified>
</cp:coreProperties>
</file>