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drea\automated-rarefaction-depth\"/>
    </mc:Choice>
  </mc:AlternateContent>
  <xr:revisionPtr revIDLastSave="0" documentId="13_ncr:1_{69FF9048-C3BA-4948-8527-5DD46088FA8D}" xr6:coauthVersionLast="47" xr6:coauthVersionMax="47" xr10:uidLastSave="{00000000-0000-0000-0000-000000000000}"/>
  <bookViews>
    <workbookView xWindow="-110" yWindow="-110" windowWidth="19420" windowHeight="10300" xr2:uid="{CE26169B-AF1E-4C75-8007-6BD404070661}"/>
  </bookViews>
  <sheets>
    <sheet name="rarefaction_analysis_ad_chao1" sheetId="2" r:id="rId1"/>
    <sheet name="Sheet1" sheetId="1" r:id="rId2"/>
  </sheets>
  <definedNames>
    <definedName name="ExternalData_1" localSheetId="0" hidden="1">'rarefaction_analysis_ad_chao1'!$A$1:$DN$50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9" i="2" l="1"/>
  <c r="G78" i="2"/>
  <c r="G77" i="2"/>
  <c r="G76" i="2"/>
  <c r="G75" i="2"/>
  <c r="G74" i="2"/>
  <c r="G73" i="2"/>
  <c r="G72" i="2"/>
  <c r="G71" i="2"/>
  <c r="F79" i="2"/>
  <c r="F78" i="2"/>
  <c r="F77" i="2"/>
  <c r="F76" i="2"/>
  <c r="F75" i="2"/>
  <c r="F74" i="2"/>
  <c r="F73" i="2"/>
  <c r="F72" i="2"/>
  <c r="F71" i="2"/>
  <c r="G70" i="2"/>
  <c r="F70" i="2"/>
  <c r="E79" i="2"/>
  <c r="E78" i="2"/>
  <c r="E77" i="2"/>
  <c r="E76" i="2"/>
  <c r="E75" i="2"/>
  <c r="E74" i="2"/>
  <c r="E73" i="2"/>
  <c r="E72" i="2"/>
  <c r="E71" i="2"/>
  <c r="E70" i="2"/>
  <c r="DG50" i="2"/>
  <c r="CZ50" i="2"/>
  <c r="DA50" i="2"/>
  <c r="DB50" i="2"/>
  <c r="DC50" i="2"/>
  <c r="DD50" i="2"/>
  <c r="DE50" i="2"/>
  <c r="DF50" i="2"/>
  <c r="CV50" i="2"/>
  <c r="CP50" i="2"/>
  <c r="CQ50" i="2"/>
  <c r="CR50" i="2"/>
  <c r="CS50" i="2"/>
  <c r="CT50" i="2"/>
  <c r="CU50" i="2"/>
  <c r="CW50" i="2"/>
  <c r="CX50" i="2"/>
  <c r="CY50" i="2"/>
  <c r="CK50" i="2"/>
  <c r="CD50" i="2"/>
  <c r="CE50" i="2"/>
  <c r="CF50" i="2"/>
  <c r="CG50" i="2"/>
  <c r="CH50" i="2"/>
  <c r="CI50" i="2"/>
  <c r="CJ50" i="2"/>
  <c r="CL50" i="2"/>
  <c r="CM50" i="2"/>
  <c r="CN50" i="2"/>
  <c r="CO50" i="2"/>
  <c r="BZ50" i="2"/>
  <c r="BT50" i="2"/>
  <c r="BU50" i="2"/>
  <c r="BV50" i="2"/>
  <c r="BW50" i="2"/>
  <c r="BX50" i="2"/>
  <c r="BY50" i="2"/>
  <c r="CA50" i="2"/>
  <c r="CB50" i="2"/>
  <c r="CC50" i="2"/>
  <c r="BO50" i="2"/>
  <c r="BH50" i="2"/>
  <c r="BI50" i="2"/>
  <c r="BJ50" i="2"/>
  <c r="BK50" i="2"/>
  <c r="BL50" i="2"/>
  <c r="BM50" i="2"/>
  <c r="BN50" i="2"/>
  <c r="BP50" i="2"/>
  <c r="BQ50" i="2"/>
  <c r="BR50" i="2"/>
  <c r="BS50" i="2"/>
  <c r="BD50" i="2"/>
  <c r="AU50" i="2"/>
  <c r="AV50" i="2"/>
  <c r="AW50" i="2"/>
  <c r="AX50" i="2"/>
  <c r="AY50" i="2"/>
  <c r="AZ50" i="2"/>
  <c r="BA50" i="2"/>
  <c r="BB50" i="2"/>
  <c r="BC50" i="2"/>
  <c r="BE50" i="2"/>
  <c r="BF50" i="2"/>
  <c r="BG50" i="2"/>
  <c r="AS50" i="2"/>
  <c r="AJ50" i="2"/>
  <c r="AK50" i="2"/>
  <c r="AL50" i="2"/>
  <c r="AM50" i="2"/>
  <c r="AN50" i="2"/>
  <c r="AO50" i="2"/>
  <c r="AP50" i="2"/>
  <c r="AQ50" i="2"/>
  <c r="AR50" i="2"/>
  <c r="AT50" i="2"/>
  <c r="AI50" i="2"/>
  <c r="AH50" i="2"/>
  <c r="Y50" i="2"/>
  <c r="Z50" i="2"/>
  <c r="AA50" i="2"/>
  <c r="AB50" i="2"/>
  <c r="AC50" i="2"/>
  <c r="AD50" i="2"/>
  <c r="AE50" i="2"/>
  <c r="AF50" i="2"/>
  <c r="AG50" i="2"/>
  <c r="X50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3" i="2"/>
  <c r="N50" i="2"/>
  <c r="O50" i="2"/>
  <c r="P50" i="2"/>
  <c r="Q50" i="2"/>
  <c r="R50" i="2"/>
  <c r="S50" i="2"/>
  <c r="T50" i="2"/>
  <c r="U50" i="2"/>
  <c r="V50" i="2"/>
  <c r="M50" i="2"/>
  <c r="C50" i="2"/>
  <c r="D50" i="2"/>
  <c r="E50" i="2"/>
  <c r="F50" i="2"/>
  <c r="G50" i="2"/>
  <c r="H50" i="2"/>
  <c r="I50" i="2"/>
  <c r="J50" i="2"/>
  <c r="K50" i="2"/>
  <c r="B50" i="2"/>
  <c r="L50" i="2"/>
  <c r="CV3" i="2"/>
  <c r="CV6" i="2"/>
  <c r="CV7" i="2"/>
  <c r="CV8" i="2"/>
  <c r="CV9" i="2"/>
  <c r="CV10" i="2"/>
  <c r="CV12" i="2"/>
  <c r="CV13" i="2"/>
  <c r="G62" i="2"/>
  <c r="CK3" i="2"/>
  <c r="CK5" i="2"/>
  <c r="CK6" i="2"/>
  <c r="CK7" i="2"/>
  <c r="CK8" i="2"/>
  <c r="CK9" i="2"/>
  <c r="CK10" i="2"/>
  <c r="CK11" i="2"/>
  <c r="CK12" i="2"/>
  <c r="CK13" i="2"/>
  <c r="G61" i="2"/>
  <c r="BZ3" i="2"/>
  <c r="BZ5" i="2"/>
  <c r="BZ6" i="2"/>
  <c r="BZ7" i="2"/>
  <c r="BZ8" i="2"/>
  <c r="BZ9" i="2"/>
  <c r="BZ10" i="2"/>
  <c r="BZ11" i="2"/>
  <c r="BZ12" i="2"/>
  <c r="BZ13" i="2"/>
  <c r="G60" i="2"/>
  <c r="BO3" i="2"/>
  <c r="BO5" i="2"/>
  <c r="BO6" i="2"/>
  <c r="BO7" i="2"/>
  <c r="BO8" i="2"/>
  <c r="BO9" i="2"/>
  <c r="BO10" i="2"/>
  <c r="BO11" i="2"/>
  <c r="BO12" i="2"/>
  <c r="BO13" i="2"/>
  <c r="G59" i="2"/>
  <c r="BD3" i="2"/>
  <c r="BD4" i="2"/>
  <c r="BD5" i="2"/>
  <c r="BD6" i="2"/>
  <c r="BD7" i="2"/>
  <c r="BD8" i="2"/>
  <c r="BD9" i="2"/>
  <c r="BD10" i="2"/>
  <c r="BD11" i="2"/>
  <c r="BD12" i="2"/>
  <c r="BD13" i="2"/>
  <c r="G58" i="2"/>
  <c r="AS3" i="2"/>
  <c r="AS4" i="2"/>
  <c r="AS5" i="2"/>
  <c r="AS6" i="2"/>
  <c r="AS7" i="2"/>
  <c r="AS8" i="2"/>
  <c r="AS9" i="2"/>
  <c r="AS10" i="2"/>
  <c r="AS11" i="2"/>
  <c r="AS12" i="2"/>
  <c r="AS13" i="2"/>
  <c r="G57" i="2"/>
  <c r="AH3" i="2"/>
  <c r="AH4" i="2"/>
  <c r="AH5" i="2"/>
  <c r="AH6" i="2"/>
  <c r="AH7" i="2"/>
  <c r="AH8" i="2"/>
  <c r="AH9" i="2"/>
  <c r="AH10" i="2"/>
  <c r="AH11" i="2"/>
  <c r="AH12" i="2"/>
  <c r="AH13" i="2"/>
  <c r="G56" i="2"/>
  <c r="G55" i="2"/>
  <c r="F62" i="2"/>
  <c r="F61" i="2"/>
  <c r="F60" i="2"/>
  <c r="F59" i="2"/>
  <c r="F58" i="2"/>
  <c r="F57" i="2"/>
  <c r="F56" i="2"/>
  <c r="F55" i="2"/>
  <c r="DG9" i="2"/>
  <c r="G63" i="2"/>
  <c r="F63" i="2"/>
  <c r="E63" i="2"/>
  <c r="E62" i="2"/>
  <c r="E59" i="2"/>
  <c r="E60" i="2"/>
  <c r="E61" i="2"/>
  <c r="E58" i="2"/>
  <c r="E57" i="2"/>
  <c r="E56" i="2"/>
  <c r="E55" i="2"/>
  <c r="L2" i="2"/>
  <c r="L3" i="2"/>
  <c r="L4" i="2"/>
  <c r="L5" i="2"/>
  <c r="L6" i="2"/>
  <c r="L7" i="2"/>
  <c r="L8" i="2"/>
  <c r="L9" i="2"/>
  <c r="L10" i="2"/>
  <c r="L11" i="2"/>
  <c r="L12" i="2"/>
  <c r="L13" i="2"/>
  <c r="G54" i="2"/>
  <c r="F54" i="2"/>
  <c r="E54" i="2"/>
  <c r="DG10" i="2"/>
  <c r="DG11" i="2"/>
  <c r="DG12" i="2"/>
  <c r="DG13" i="2"/>
  <c r="DG14" i="2"/>
  <c r="DG15" i="2"/>
  <c r="DG16" i="2"/>
  <c r="DG17" i="2"/>
  <c r="DG18" i="2"/>
  <c r="DG19" i="2"/>
  <c r="DG20" i="2"/>
  <c r="DG21" i="2"/>
  <c r="DG22" i="2"/>
  <c r="DG23" i="2"/>
  <c r="DG24" i="2"/>
  <c r="DG25" i="2"/>
  <c r="DG26" i="2"/>
  <c r="DG27" i="2"/>
  <c r="DG28" i="2"/>
  <c r="DG29" i="2"/>
  <c r="DG30" i="2"/>
  <c r="DG31" i="2"/>
  <c r="DG32" i="2"/>
  <c r="DG33" i="2"/>
  <c r="DG34" i="2"/>
  <c r="DG35" i="2"/>
  <c r="DG36" i="2"/>
  <c r="DG37" i="2"/>
  <c r="DG38" i="2"/>
  <c r="DG39" i="2"/>
  <c r="DG40" i="2"/>
  <c r="DG41" i="2"/>
  <c r="DG42" i="2"/>
  <c r="DG43" i="2"/>
  <c r="DG44" i="2"/>
  <c r="DG45" i="2"/>
  <c r="DG46" i="2"/>
  <c r="DG47" i="2"/>
  <c r="DG48" i="2"/>
  <c r="DG49" i="2"/>
  <c r="CV4" i="2"/>
  <c r="CV5" i="2"/>
  <c r="CV11" i="2"/>
  <c r="CV14" i="2"/>
  <c r="CV15" i="2"/>
  <c r="CV16" i="2"/>
  <c r="CV17" i="2"/>
  <c r="CV18" i="2"/>
  <c r="CV19" i="2"/>
  <c r="CV20" i="2"/>
  <c r="CV21" i="2"/>
  <c r="CV22" i="2"/>
  <c r="CV23" i="2"/>
  <c r="CV24" i="2"/>
  <c r="CV25" i="2"/>
  <c r="CV26" i="2"/>
  <c r="CV27" i="2"/>
  <c r="CV28" i="2"/>
  <c r="CV29" i="2"/>
  <c r="CV30" i="2"/>
  <c r="CV31" i="2"/>
  <c r="CV32" i="2"/>
  <c r="CV33" i="2"/>
  <c r="CV34" i="2"/>
  <c r="CV35" i="2"/>
  <c r="CV36" i="2"/>
  <c r="CV37" i="2"/>
  <c r="CV38" i="2"/>
  <c r="CV39" i="2"/>
  <c r="CV40" i="2"/>
  <c r="CV41" i="2"/>
  <c r="CV42" i="2"/>
  <c r="CV43" i="2"/>
  <c r="CV44" i="2"/>
  <c r="CV45" i="2"/>
  <c r="CV46" i="2"/>
  <c r="CV47" i="2"/>
  <c r="CV48" i="2"/>
  <c r="CV49" i="2"/>
  <c r="CK4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26" i="2"/>
  <c r="CK27" i="2"/>
  <c r="CK28" i="2"/>
  <c r="CK29" i="2"/>
  <c r="CK30" i="2"/>
  <c r="CK31" i="2"/>
  <c r="CK32" i="2"/>
  <c r="CK33" i="2"/>
  <c r="CK34" i="2"/>
  <c r="CK35" i="2"/>
  <c r="CK36" i="2"/>
  <c r="CK37" i="2"/>
  <c r="CK38" i="2"/>
  <c r="CK39" i="2"/>
  <c r="CK40" i="2"/>
  <c r="CK41" i="2"/>
  <c r="CK42" i="2"/>
  <c r="CK43" i="2"/>
  <c r="CK44" i="2"/>
  <c r="CK45" i="2"/>
  <c r="CK46" i="2"/>
  <c r="CK47" i="2"/>
  <c r="CK48" i="2"/>
  <c r="CK49" i="2"/>
  <c r="BZ4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O4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L47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8" i="2"/>
  <c r="L4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9C4858-C766-4019-B829-31A7AE466040}" keepAlive="1" name="Query - rarefaction_analysis_ad_chao1" description="Connection to the 'rarefaction_analysis_ad_chao1' query in the workbook." type="5" refreshedVersion="8" background="1" saveData="1">
    <dbPr connection="Provider=Microsoft.Mashup.OleDb.1;Data Source=$Workbook$;Location=rarefaction_analysis_ad_chao1;Extended Properties=&quot;&quot;" command="SELECT * FROM [rarefaction_analysis_ad_chao1]"/>
  </connection>
</connections>
</file>

<file path=xl/sharedStrings.xml><?xml version="1.0" encoding="utf-8"?>
<sst xmlns="http://schemas.openxmlformats.org/spreadsheetml/2006/main" count="483" uniqueCount="246">
  <si>
    <t>sample-id</t>
  </si>
  <si>
    <t>depth-1_iter-1</t>
  </si>
  <si>
    <t>depth-1_iter-2</t>
  </si>
  <si>
    <t>depth-1_iter-3</t>
  </si>
  <si>
    <t>depth-1_iter-4</t>
  </si>
  <si>
    <t>depth-1_iter-5</t>
  </si>
  <si>
    <t>depth-1_iter-6</t>
  </si>
  <si>
    <t>depth-1_iter-7</t>
  </si>
  <si>
    <t>depth-1_iter-8</t>
  </si>
  <si>
    <t>depth-1_iter-9</t>
  </si>
  <si>
    <t>depth-1_iter-10</t>
  </si>
  <si>
    <t>depth-537_iter-1</t>
  </si>
  <si>
    <t>depth-537_iter-2</t>
  </si>
  <si>
    <t>depth-537_iter-3</t>
  </si>
  <si>
    <t>depth-537_iter-4</t>
  </si>
  <si>
    <t>depth-537_iter-5</t>
  </si>
  <si>
    <t>depth-537_iter-6</t>
  </si>
  <si>
    <t>depth-537_iter-7</t>
  </si>
  <si>
    <t>depth-537_iter-8</t>
  </si>
  <si>
    <t>depth-537_iter-9</t>
  </si>
  <si>
    <t>depth-537_iter-10</t>
  </si>
  <si>
    <t>depth-1073_iter-1</t>
  </si>
  <si>
    <t>depth-1073_iter-2</t>
  </si>
  <si>
    <t>depth-1073_iter-3</t>
  </si>
  <si>
    <t>depth-1073_iter-4</t>
  </si>
  <si>
    <t>depth-1073_iter-5</t>
  </si>
  <si>
    <t>depth-1073_iter-6</t>
  </si>
  <si>
    <t>depth-1073_iter-7</t>
  </si>
  <si>
    <t>depth-1073_iter-8</t>
  </si>
  <si>
    <t>depth-1073_iter-9</t>
  </si>
  <si>
    <t>depth-1073_iter-10</t>
  </si>
  <si>
    <t>depth-1609_iter-1</t>
  </si>
  <si>
    <t>depth-1609_iter-2</t>
  </si>
  <si>
    <t>depth-1609_iter-3</t>
  </si>
  <si>
    <t>depth-1609_iter-4</t>
  </si>
  <si>
    <t>depth-1609_iter-5</t>
  </si>
  <si>
    <t>depth-1609_iter-6</t>
  </si>
  <si>
    <t>depth-1609_iter-7</t>
  </si>
  <si>
    <t>depth-1609_iter-8</t>
  </si>
  <si>
    <t>depth-1609_iter-9</t>
  </si>
  <si>
    <t>depth-1609_iter-10</t>
  </si>
  <si>
    <t>depth-2145_iter-1</t>
  </si>
  <si>
    <t>depth-2145_iter-2</t>
  </si>
  <si>
    <t>depth-2145_iter-3</t>
  </si>
  <si>
    <t>depth-2145_iter-4</t>
  </si>
  <si>
    <t>depth-2145_iter-5</t>
  </si>
  <si>
    <t>depth-2145_iter-6</t>
  </si>
  <si>
    <t>depth-2145_iter-7</t>
  </si>
  <si>
    <t>depth-2145_iter-8</t>
  </si>
  <si>
    <t>depth-2145_iter-9</t>
  </si>
  <si>
    <t>depth-2145_iter-10</t>
  </si>
  <si>
    <t>depth-2682_iter-1</t>
  </si>
  <si>
    <t>depth-2682_iter-2</t>
  </si>
  <si>
    <t>depth-2682_iter-3</t>
  </si>
  <si>
    <t>depth-2682_iter-4</t>
  </si>
  <si>
    <t>depth-2682_iter-5</t>
  </si>
  <si>
    <t>depth-2682_iter-6</t>
  </si>
  <si>
    <t>depth-2682_iter-7</t>
  </si>
  <si>
    <t>depth-2682_iter-8</t>
  </si>
  <si>
    <t>depth-2682_iter-9</t>
  </si>
  <si>
    <t>depth-2682_iter-10</t>
  </si>
  <si>
    <t>depth-3218_iter-1</t>
  </si>
  <si>
    <t>depth-3218_iter-2</t>
  </si>
  <si>
    <t>depth-3218_iter-3</t>
  </si>
  <si>
    <t>depth-3218_iter-4</t>
  </si>
  <si>
    <t>depth-3218_iter-5</t>
  </si>
  <si>
    <t>depth-3218_iter-6</t>
  </si>
  <si>
    <t>depth-3218_iter-7</t>
  </si>
  <si>
    <t>depth-3218_iter-8</t>
  </si>
  <si>
    <t>depth-3218_iter-9</t>
  </si>
  <si>
    <t>depth-3218_iter-10</t>
  </si>
  <si>
    <t>depth-3754_iter-1</t>
  </si>
  <si>
    <t>depth-3754_iter-2</t>
  </si>
  <si>
    <t>depth-3754_iter-3</t>
  </si>
  <si>
    <t>depth-3754_iter-4</t>
  </si>
  <si>
    <t>depth-3754_iter-5</t>
  </si>
  <si>
    <t>depth-3754_iter-6</t>
  </si>
  <si>
    <t>depth-3754_iter-7</t>
  </si>
  <si>
    <t>depth-3754_iter-8</t>
  </si>
  <si>
    <t>depth-3754_iter-9</t>
  </si>
  <si>
    <t>depth-3754_iter-10</t>
  </si>
  <si>
    <t>depth-4290_iter-1</t>
  </si>
  <si>
    <t>depth-4290_iter-2</t>
  </si>
  <si>
    <t>depth-4290_iter-3</t>
  </si>
  <si>
    <t>depth-4290_iter-4</t>
  </si>
  <si>
    <t>depth-4290_iter-5</t>
  </si>
  <si>
    <t>depth-4290_iter-6</t>
  </si>
  <si>
    <t>depth-4290_iter-7</t>
  </si>
  <si>
    <t>depth-4290_iter-8</t>
  </si>
  <si>
    <t>depth-4290_iter-9</t>
  </si>
  <si>
    <t>depth-4290_iter-10</t>
  </si>
  <si>
    <t>depth-4827_iter-1</t>
  </si>
  <si>
    <t>depth-4827_iter-2</t>
  </si>
  <si>
    <t>depth-4827_iter-3</t>
  </si>
  <si>
    <t>depth-4827_iter-4</t>
  </si>
  <si>
    <t>depth-4827_iter-5</t>
  </si>
  <si>
    <t>depth-4827_iter-6</t>
  </si>
  <si>
    <t>depth-4827_iter-7</t>
  </si>
  <si>
    <t>depth-4827_iter-8</t>
  </si>
  <si>
    <t>depth-4827_iter-9</t>
  </si>
  <si>
    <t>depth-4827_iter-10</t>
  </si>
  <si>
    <t>barcode</t>
  </si>
  <si>
    <t>mouse_id</t>
  </si>
  <si>
    <t>genotype</t>
  </si>
  <si>
    <t>cage_id</t>
  </si>
  <si>
    <t>donor</t>
  </si>
  <si>
    <t>donor_status</t>
  </si>
  <si>
    <t>genotype_and_donor_status</t>
  </si>
  <si>
    <t>recip.220.WT.OB1.D7</t>
  </si>
  <si>
    <t>CCTCCGTCATGG</t>
  </si>
  <si>
    <t>wild type</t>
  </si>
  <si>
    <t>C35</t>
  </si>
  <si>
    <t>hc_1</t>
  </si>
  <si>
    <t>Healthy</t>
  </si>
  <si>
    <t>wild type and Healthy</t>
  </si>
  <si>
    <t>recip.290.ASO.OB2.D1</t>
  </si>
  <si>
    <t>AACAGTAAACAA</t>
  </si>
  <si>
    <t>susceptible</t>
  </si>
  <si>
    <t>susceptible and Healthy</t>
  </si>
  <si>
    <t>recip.389.WT.HC2.D21</t>
  </si>
  <si>
    <t>ATGTATCAATTA</t>
  </si>
  <si>
    <t>C31</t>
  </si>
  <si>
    <t>recip.391.ASO.PD2.D14</t>
  </si>
  <si>
    <t>GTCAGTATGGCT</t>
  </si>
  <si>
    <t>recip.391.ASO.PD2.D21</t>
  </si>
  <si>
    <t>AGACAGTAGGAG</t>
  </si>
  <si>
    <t>recip.391.ASO.PD2.D7</t>
  </si>
  <si>
    <t>GGTCTTAGCACC</t>
  </si>
  <si>
    <t>recip.400.ASO.HC2.D14</t>
  </si>
  <si>
    <t>CGTTCGCTAGCC</t>
  </si>
  <si>
    <t>recip.401.ASO.HC2.D7</t>
  </si>
  <si>
    <t>ATTTACAATTGA</t>
  </si>
  <si>
    <t>recip.403.ASO.PD2.D21</t>
  </si>
  <si>
    <t>CGCAGATTAGTA</t>
  </si>
  <si>
    <t>recip.411.ASO.HC2.D14</t>
  </si>
  <si>
    <t>ATGTTAGGGAAT</t>
  </si>
  <si>
    <t>recip.411.ASO.HC2.D21</t>
  </si>
  <si>
    <t>CTCATATGCTAT</t>
  </si>
  <si>
    <t>recip.411.ASO.HC2.D49</t>
  </si>
  <si>
    <t>GCAACGAACGAG</t>
  </si>
  <si>
    <t>recip.412.ASO.HC2.D14</t>
  </si>
  <si>
    <t>AAGTGGCTATCC</t>
  </si>
  <si>
    <t>recip.412.ASO.HC2.D7</t>
  </si>
  <si>
    <t>GCATTCGGCGTT</t>
  </si>
  <si>
    <t>recip.413.WT.HC2.D7</t>
  </si>
  <si>
    <t>ACCAGTGACTCA</t>
  </si>
  <si>
    <t>recip.456.ASO.HC3.D49</t>
  </si>
  <si>
    <t>ACGGCGTTATGT</t>
  </si>
  <si>
    <t>C42</t>
  </si>
  <si>
    <t>recip.458.ASO.HC3.D21</t>
  </si>
  <si>
    <t>ACGGCCCTGGAG</t>
  </si>
  <si>
    <t>recip.458.ASO.HC3.D49</t>
  </si>
  <si>
    <t>CATTTGACGACG</t>
  </si>
  <si>
    <t>recip.459.WT.HC3.D14</t>
  </si>
  <si>
    <t>ACATGGGCGGAA</t>
  </si>
  <si>
    <t>recip.459.WT.HC3.D21</t>
  </si>
  <si>
    <t>CATAAATTCTTG</t>
  </si>
  <si>
    <t>recip.459.WT.HC3.D49</t>
  </si>
  <si>
    <t>GCTGCGTATACC</t>
  </si>
  <si>
    <t>C43</t>
  </si>
  <si>
    <t>pd_1</t>
  </si>
  <si>
    <t>PD</t>
  </si>
  <si>
    <t>susceptible and PD</t>
  </si>
  <si>
    <t>recip.460.WT.HC3.D14</t>
  </si>
  <si>
    <t>CTGCGGATATAC</t>
  </si>
  <si>
    <t>recip.460.WT.HC3.D21</t>
  </si>
  <si>
    <t>GTCAATTAGTGG</t>
  </si>
  <si>
    <t>recip.460.WT.HC3.D49</t>
  </si>
  <si>
    <t>GAGAAGCTTATA</t>
  </si>
  <si>
    <t>wild type and PD</t>
  </si>
  <si>
    <t>recip.460.WT.HC3.D7</t>
  </si>
  <si>
    <t>GACCCGTTTCGC</t>
  </si>
  <si>
    <t>recip.461.ASO.HC3.D21</t>
  </si>
  <si>
    <t>AGCCCGCAAAGG</t>
  </si>
  <si>
    <t>recip.461.ASO.HC3.D49</t>
  </si>
  <si>
    <t>GGCGTAACGGCA</t>
  </si>
  <si>
    <t>C44</t>
  </si>
  <si>
    <t>recip.461.ASO.HC3.D7</t>
  </si>
  <si>
    <t>ATTGCCTTGATT</t>
  </si>
  <si>
    <t>recip.462.WT.PD3.D14</t>
  </si>
  <si>
    <t>GTGAGGGCAAGT</t>
  </si>
  <si>
    <t>recip.462.WT.PD3.D21</t>
  </si>
  <si>
    <t>GGCCTATAAGTC</t>
  </si>
  <si>
    <t>recip.462.WT.PD3.D49</t>
  </si>
  <si>
    <t>AATACAGACCTG</t>
  </si>
  <si>
    <t>recip.462.WT.PD3.D7</t>
  </si>
  <si>
    <t>TTAGGATTCTAT</t>
  </si>
  <si>
    <t>recip.463.WT.PD3.D14</t>
  </si>
  <si>
    <t>ATATTGGCAGCC</t>
  </si>
  <si>
    <t>recip.463.WT.PD3.D21</t>
  </si>
  <si>
    <t>CGCGGCGCAGCT</t>
  </si>
  <si>
    <t>recip.463.WT.PD3.D7</t>
  </si>
  <si>
    <t>GTTTATCTTAAG</t>
  </si>
  <si>
    <t>recip.464.WT.PD3.D14</t>
  </si>
  <si>
    <t>TCATCCGTCGGC</t>
  </si>
  <si>
    <t>recip.465.ASO.PD3.D14</t>
  </si>
  <si>
    <t>GGCTTCGGAGCG</t>
  </si>
  <si>
    <t>recip.465.ASO.PD3.D7</t>
  </si>
  <si>
    <t>CAGTCTAGTACG</t>
  </si>
  <si>
    <t>recip.466.ASO.PD3.D7</t>
  </si>
  <si>
    <t>GTGGGACTGCGC</t>
  </si>
  <si>
    <t>recip.467.WT.HC3.D49.a</t>
  </si>
  <si>
    <t>GTCAGGTGCGGC</t>
  </si>
  <si>
    <t>recip.467.WT.HC3.D49.b</t>
  </si>
  <si>
    <t>GTTAACTTACTA</t>
  </si>
  <si>
    <t>C49</t>
  </si>
  <si>
    <t>recip.536.ASO.PD4.D49</t>
  </si>
  <si>
    <t>CAAATTCGGGAT</t>
  </si>
  <si>
    <t>recip.537.WT.PD4.D21</t>
  </si>
  <si>
    <t>CTCTATTCCACC</t>
  </si>
  <si>
    <t>recip.538.WT.PD4.D21</t>
  </si>
  <si>
    <t>ATGGATAGCTAA</t>
  </si>
  <si>
    <t>recip.539.ASO.PD4.D14</t>
  </si>
  <si>
    <t>GATCCGGCAGGA</t>
  </si>
  <si>
    <t>recip.539.ASO.PD4.D7</t>
  </si>
  <si>
    <t>GTTCGAGTGAAT</t>
  </si>
  <si>
    <t>recip.540.ASO.HC4.D14</t>
  </si>
  <si>
    <t>CTTCCAACTCAT</t>
  </si>
  <si>
    <t>recip.540.ASO.HC4.D7</t>
  </si>
  <si>
    <t>CGGCCTAAGTTC</t>
  </si>
  <si>
    <t>median</t>
  </si>
  <si>
    <t>p_25</t>
  </si>
  <si>
    <t>p_75</t>
  </si>
  <si>
    <t>depth_1</t>
  </si>
  <si>
    <t>depth_537</t>
  </si>
  <si>
    <t>depth_1037</t>
  </si>
  <si>
    <t>depth_1609</t>
  </si>
  <si>
    <t>depth_2145</t>
  </si>
  <si>
    <t>depth_2682</t>
  </si>
  <si>
    <t>depth_3218</t>
  </si>
  <si>
    <t>depth_3754</t>
  </si>
  <si>
    <t>depth_4290</t>
  </si>
  <si>
    <t>depth_4827</t>
  </si>
  <si>
    <t>depth-1-average</t>
  </si>
  <si>
    <t>depth-537-average</t>
  </si>
  <si>
    <t>depth-1073-average</t>
  </si>
  <si>
    <t>depth-1609-average</t>
  </si>
  <si>
    <t>depth-2145-average</t>
  </si>
  <si>
    <t>depth-2682-average</t>
  </si>
  <si>
    <t>depth-3218-average</t>
  </si>
  <si>
    <t>depth-3754-average</t>
  </si>
  <si>
    <t>depth-4290-average</t>
  </si>
  <si>
    <t>depth-4827-average</t>
  </si>
  <si>
    <t>ad, chao1, wild type and PD (genotype_and_donor_status) --- depth average per sample taken first:</t>
  </si>
  <si>
    <t>ad, chao1, wild type and PD (genotype_and_donor_status) --- first taking the median per iteration:</t>
  </si>
  <si>
    <t>median per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</si>
</sst>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390D2E-AE26-41B0-9C56-8FC45937FBB0}" autoFormatId="16" applyNumberFormats="0" applyBorderFormats="0" applyFontFormats="0" applyPatternFormats="0" applyAlignmentFormats="0" applyWidthHeightFormats="0">
  <queryTableRefresh nextId="119">
    <queryTableFields count="118">
      <queryTableField id="1" name="sample-id" tableColumnId="1"/>
      <queryTableField id="2" name="depth-1_iter-1" tableColumnId="2"/>
      <queryTableField id="3" name="depth-1_iter-2" tableColumnId="3"/>
      <queryTableField id="4" name="depth-1_iter-3" tableColumnId="4"/>
      <queryTableField id="5" name="depth-1_iter-4" tableColumnId="5"/>
      <queryTableField id="6" name="depth-1_iter-5" tableColumnId="6"/>
      <queryTableField id="7" name="depth-1_iter-6" tableColumnId="7"/>
      <queryTableField id="8" name="depth-1_iter-7" tableColumnId="8"/>
      <queryTableField id="9" name="depth-1_iter-8" tableColumnId="9"/>
      <queryTableField id="10" name="depth-1_iter-9" tableColumnId="10"/>
      <queryTableField id="11" name="depth-1_iter-10" tableColumnId="11"/>
      <queryTableField id="109" dataBound="0" tableColumnId="109"/>
      <queryTableField id="12" name="depth-537_iter-1" tableColumnId="12"/>
      <queryTableField id="13" name="depth-537_iter-2" tableColumnId="13"/>
      <queryTableField id="14" name="depth-537_iter-3" tableColumnId="14"/>
      <queryTableField id="15" name="depth-537_iter-4" tableColumnId="15"/>
      <queryTableField id="16" name="depth-537_iter-5" tableColumnId="16"/>
      <queryTableField id="17" name="depth-537_iter-6" tableColumnId="17"/>
      <queryTableField id="18" name="depth-537_iter-7" tableColumnId="18"/>
      <queryTableField id="19" name="depth-537_iter-8" tableColumnId="19"/>
      <queryTableField id="20" name="depth-537_iter-9" tableColumnId="20"/>
      <queryTableField id="21" name="depth-537_iter-10" tableColumnId="21"/>
      <queryTableField id="110" dataBound="0" tableColumnId="110"/>
      <queryTableField id="22" name="depth-1073_iter-1" tableColumnId="22"/>
      <queryTableField id="23" name="depth-1073_iter-2" tableColumnId="23"/>
      <queryTableField id="24" name="depth-1073_iter-3" tableColumnId="24"/>
      <queryTableField id="25" name="depth-1073_iter-4" tableColumnId="25"/>
      <queryTableField id="26" name="depth-1073_iter-5" tableColumnId="26"/>
      <queryTableField id="27" name="depth-1073_iter-6" tableColumnId="27"/>
      <queryTableField id="28" name="depth-1073_iter-7" tableColumnId="28"/>
      <queryTableField id="29" name="depth-1073_iter-8" tableColumnId="29"/>
      <queryTableField id="30" name="depth-1073_iter-9" tableColumnId="30"/>
      <queryTableField id="31" name="depth-1073_iter-10" tableColumnId="31"/>
      <queryTableField id="111" dataBound="0" tableColumnId="111"/>
      <queryTableField id="32" name="depth-1609_iter-1" tableColumnId="32"/>
      <queryTableField id="33" name="depth-1609_iter-2" tableColumnId="33"/>
      <queryTableField id="34" name="depth-1609_iter-3" tableColumnId="34"/>
      <queryTableField id="35" name="depth-1609_iter-4" tableColumnId="35"/>
      <queryTableField id="36" name="depth-1609_iter-5" tableColumnId="36"/>
      <queryTableField id="37" name="depth-1609_iter-6" tableColumnId="37"/>
      <queryTableField id="38" name="depth-1609_iter-7" tableColumnId="38"/>
      <queryTableField id="39" name="depth-1609_iter-8" tableColumnId="39"/>
      <queryTableField id="40" name="depth-1609_iter-9" tableColumnId="40"/>
      <queryTableField id="41" name="depth-1609_iter-10" tableColumnId="41"/>
      <queryTableField id="112" dataBound="0" tableColumnId="112"/>
      <queryTableField id="42" name="depth-2145_iter-1" tableColumnId="42"/>
      <queryTableField id="43" name="depth-2145_iter-2" tableColumnId="43"/>
      <queryTableField id="44" name="depth-2145_iter-3" tableColumnId="44"/>
      <queryTableField id="45" name="depth-2145_iter-4" tableColumnId="45"/>
      <queryTableField id="46" name="depth-2145_iter-5" tableColumnId="46"/>
      <queryTableField id="47" name="depth-2145_iter-6" tableColumnId="47"/>
      <queryTableField id="48" name="depth-2145_iter-7" tableColumnId="48"/>
      <queryTableField id="49" name="depth-2145_iter-8" tableColumnId="49"/>
      <queryTableField id="50" name="depth-2145_iter-9" tableColumnId="50"/>
      <queryTableField id="51" name="depth-2145_iter-10" tableColumnId="51"/>
      <queryTableField id="113" dataBound="0" tableColumnId="113"/>
      <queryTableField id="52" name="depth-2682_iter-1" tableColumnId="52"/>
      <queryTableField id="53" name="depth-2682_iter-2" tableColumnId="53"/>
      <queryTableField id="54" name="depth-2682_iter-3" tableColumnId="54"/>
      <queryTableField id="55" name="depth-2682_iter-4" tableColumnId="55"/>
      <queryTableField id="56" name="depth-2682_iter-5" tableColumnId="56"/>
      <queryTableField id="57" name="depth-2682_iter-6" tableColumnId="57"/>
      <queryTableField id="58" name="depth-2682_iter-7" tableColumnId="58"/>
      <queryTableField id="59" name="depth-2682_iter-8" tableColumnId="59"/>
      <queryTableField id="60" name="depth-2682_iter-9" tableColumnId="60"/>
      <queryTableField id="61" name="depth-2682_iter-10" tableColumnId="61"/>
      <queryTableField id="114" dataBound="0" tableColumnId="114"/>
      <queryTableField id="62" name="depth-3218_iter-1" tableColumnId="62"/>
      <queryTableField id="63" name="depth-3218_iter-2" tableColumnId="63"/>
      <queryTableField id="64" name="depth-3218_iter-3" tableColumnId="64"/>
      <queryTableField id="65" name="depth-3218_iter-4" tableColumnId="65"/>
      <queryTableField id="66" name="depth-3218_iter-5" tableColumnId="66"/>
      <queryTableField id="67" name="depth-3218_iter-6" tableColumnId="67"/>
      <queryTableField id="68" name="depth-3218_iter-7" tableColumnId="68"/>
      <queryTableField id="69" name="depth-3218_iter-8" tableColumnId="69"/>
      <queryTableField id="70" name="depth-3218_iter-9" tableColumnId="70"/>
      <queryTableField id="71" name="depth-3218_iter-10" tableColumnId="71"/>
      <queryTableField id="115" dataBound="0" tableColumnId="115"/>
      <queryTableField id="72" name="depth-3754_iter-1" tableColumnId="72"/>
      <queryTableField id="73" name="depth-3754_iter-2" tableColumnId="73"/>
      <queryTableField id="74" name="depth-3754_iter-3" tableColumnId="74"/>
      <queryTableField id="75" name="depth-3754_iter-4" tableColumnId="75"/>
      <queryTableField id="76" name="depth-3754_iter-5" tableColumnId="76"/>
      <queryTableField id="77" name="depth-3754_iter-6" tableColumnId="77"/>
      <queryTableField id="78" name="depth-3754_iter-7" tableColumnId="78"/>
      <queryTableField id="79" name="depth-3754_iter-8" tableColumnId="79"/>
      <queryTableField id="80" name="depth-3754_iter-9" tableColumnId="80"/>
      <queryTableField id="81" name="depth-3754_iter-10" tableColumnId="81"/>
      <queryTableField id="116" dataBound="0" tableColumnId="116"/>
      <queryTableField id="82" name="depth-4290_iter-1" tableColumnId="82"/>
      <queryTableField id="83" name="depth-4290_iter-2" tableColumnId="83"/>
      <queryTableField id="84" name="depth-4290_iter-3" tableColumnId="84"/>
      <queryTableField id="85" name="depth-4290_iter-4" tableColumnId="85"/>
      <queryTableField id="86" name="depth-4290_iter-5" tableColumnId="86"/>
      <queryTableField id="87" name="depth-4290_iter-6" tableColumnId="87"/>
      <queryTableField id="88" name="depth-4290_iter-7" tableColumnId="88"/>
      <queryTableField id="89" name="depth-4290_iter-8" tableColumnId="89"/>
      <queryTableField id="90" name="depth-4290_iter-9" tableColumnId="90"/>
      <queryTableField id="91" name="depth-4290_iter-10" tableColumnId="91"/>
      <queryTableField id="117" dataBound="0" tableColumnId="117"/>
      <queryTableField id="92" name="depth-4827_iter-1" tableColumnId="92"/>
      <queryTableField id="93" name="depth-4827_iter-2" tableColumnId="93"/>
      <queryTableField id="94" name="depth-4827_iter-3" tableColumnId="94"/>
      <queryTableField id="95" name="depth-4827_iter-4" tableColumnId="95"/>
      <queryTableField id="96" name="depth-4827_iter-5" tableColumnId="96"/>
      <queryTableField id="97" name="depth-4827_iter-6" tableColumnId="97"/>
      <queryTableField id="98" name="depth-4827_iter-7" tableColumnId="98"/>
      <queryTableField id="99" name="depth-4827_iter-8" tableColumnId="99"/>
      <queryTableField id="100" name="depth-4827_iter-9" tableColumnId="100"/>
      <queryTableField id="101" name="depth-4827_iter-10" tableColumnId="101"/>
      <queryTableField id="118" dataBound="0" tableColumnId="118"/>
      <queryTableField id="102" name="barcode" tableColumnId="102"/>
      <queryTableField id="103" name="mouse_id" tableColumnId="103"/>
      <queryTableField id="104" name="genotype" tableColumnId="104"/>
      <queryTableField id="105" name="cage_id" tableColumnId="105"/>
      <queryTableField id="106" name="donor" tableColumnId="106"/>
      <queryTableField id="107" name="donor_status" tableColumnId="107"/>
      <queryTableField id="108" name="genotype_and_donor_status" tableColumnId="10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6479B4-303F-4C6A-91A4-F0DF77982B16}" name="rarefaction_analysis_ad_chao1" displayName="rarefaction_analysis_ad_chao1" ref="A1:DN50" tableType="queryTable" totalsRowShown="0">
  <autoFilter ref="A1:DN50" xr:uid="{2F6479B4-303F-4C6A-91A4-F0DF77982B16}"/>
  <sortState xmlns:xlrd2="http://schemas.microsoft.com/office/spreadsheetml/2017/richdata2" ref="A2:DN49">
    <sortCondition descending="1" ref="DN1:DN49"/>
  </sortState>
  <tableColumns count="118">
    <tableColumn id="1" xr3:uid="{6BDF253B-14AA-4189-A2AD-10332437FDC7}" uniqueName="1" name="sample-id" queryTableFieldId="1" dataDxfId="6"/>
    <tableColumn id="2" xr3:uid="{A17C2573-AAAC-483D-8677-6FFE0D2E51A9}" uniqueName="2" name="depth-1_iter-1" queryTableFieldId="2"/>
    <tableColumn id="3" xr3:uid="{4BBB7401-E29C-4B95-A873-D2E86AC79CBD}" uniqueName="3" name="depth-1_iter-2" queryTableFieldId="3"/>
    <tableColumn id="4" xr3:uid="{D9F0C997-8BF3-4FC0-8123-89C640BBF652}" uniqueName="4" name="depth-1_iter-3" queryTableFieldId="4"/>
    <tableColumn id="5" xr3:uid="{28F58E67-40A2-4B19-B014-6E663FCAD94E}" uniqueName="5" name="depth-1_iter-4" queryTableFieldId="5"/>
    <tableColumn id="6" xr3:uid="{1BBB5EDD-387A-42EB-A305-0EE7533187EA}" uniqueName="6" name="depth-1_iter-5" queryTableFieldId="6"/>
    <tableColumn id="7" xr3:uid="{1299A055-DAC4-49B5-8219-A8059A0697B3}" uniqueName="7" name="depth-1_iter-6" queryTableFieldId="7"/>
    <tableColumn id="8" xr3:uid="{2A7CE591-96BE-4513-860A-DB6E7EC964A8}" uniqueName="8" name="depth-1_iter-7" queryTableFieldId="8"/>
    <tableColumn id="9" xr3:uid="{9C07F37B-9831-4159-8395-742D9D7B9EBC}" uniqueName="9" name="depth-1_iter-8" queryTableFieldId="9"/>
    <tableColumn id="10" xr3:uid="{8C36A6CF-7076-4579-988E-1DCFB51E6E88}" uniqueName="10" name="depth-1_iter-9" queryTableFieldId="10"/>
    <tableColumn id="11" xr3:uid="{A45E8772-46EC-437D-8DA2-E3EB0B23FEA1}" uniqueName="11" name="depth-1_iter-10" queryTableFieldId="11"/>
    <tableColumn id="109" xr3:uid="{B09E3D35-0ED2-46DF-B637-2F9D23C0B364}" uniqueName="109" name="depth-1-average" queryTableFieldId="109">
      <calculatedColumnFormula>AVERAGE(rarefaction_analysis_ad_chao1[[#This Row],[depth-1_iter-1]:[depth-1_iter-10]])</calculatedColumnFormula>
    </tableColumn>
    <tableColumn id="12" xr3:uid="{00790B82-146D-4AD1-BBEE-F0E2FED6A6C5}" uniqueName="12" name="depth-537_iter-1" queryTableFieldId="12"/>
    <tableColumn id="13" xr3:uid="{4692356D-0EE4-4D50-8424-10E1EC3B25A9}" uniqueName="13" name="depth-537_iter-2" queryTableFieldId="13"/>
    <tableColumn id="14" xr3:uid="{747A01F6-67CC-4C65-9F26-DF0C19AD49FB}" uniqueName="14" name="depth-537_iter-3" queryTableFieldId="14"/>
    <tableColumn id="15" xr3:uid="{60DEDBFC-728F-4FFD-9241-FD3494CBBF1F}" uniqueName="15" name="depth-537_iter-4" queryTableFieldId="15"/>
    <tableColumn id="16" xr3:uid="{2DB1D615-A0D8-45E1-B0E6-C50019D428E5}" uniqueName="16" name="depth-537_iter-5" queryTableFieldId="16"/>
    <tableColumn id="17" xr3:uid="{525EF7E2-C6D4-44E0-9C0E-805FB7459A0B}" uniqueName="17" name="depth-537_iter-6" queryTableFieldId="17"/>
    <tableColumn id="18" xr3:uid="{9727B61B-65F3-4172-93AB-466713A1FC0C}" uniqueName="18" name="depth-537_iter-7" queryTableFieldId="18"/>
    <tableColumn id="19" xr3:uid="{FA66BFBB-90F8-4AE1-9BEC-61ED9732D66C}" uniqueName="19" name="depth-537_iter-8" queryTableFieldId="19"/>
    <tableColumn id="20" xr3:uid="{55F39804-F095-4D0D-BBFA-38E0F66E0F28}" uniqueName="20" name="depth-537_iter-9" queryTableFieldId="20"/>
    <tableColumn id="21" xr3:uid="{60EC5EB3-98DE-4D2A-8BC7-FFFAB94AF366}" uniqueName="21" name="depth-537_iter-10" queryTableFieldId="21"/>
    <tableColumn id="110" xr3:uid="{6AE063BA-21B6-4D99-96DA-8CE2BF43D91A}" uniqueName="110" name="depth-537-average" queryTableFieldId="110">
      <calculatedColumnFormula>AVERAGE(M2:V2)</calculatedColumnFormula>
    </tableColumn>
    <tableColumn id="22" xr3:uid="{CB01DF4B-425E-427C-B76C-1995CD161A2B}" uniqueName="22" name="depth-1073_iter-1" queryTableFieldId="22"/>
    <tableColumn id="23" xr3:uid="{3DEF4CD9-A1B0-4968-859E-D91EC1CD5B85}" uniqueName="23" name="depth-1073_iter-2" queryTableFieldId="23"/>
    <tableColumn id="24" xr3:uid="{48DC987A-404A-4FCF-B4A6-038D6B87FC12}" uniqueName="24" name="depth-1073_iter-3" queryTableFieldId="24"/>
    <tableColumn id="25" xr3:uid="{ADF769E6-E4DB-458E-8250-99622DCAAF12}" uniqueName="25" name="depth-1073_iter-4" queryTableFieldId="25"/>
    <tableColumn id="26" xr3:uid="{40F168B4-EB77-46AB-B769-2FEBEB4F6521}" uniqueName="26" name="depth-1073_iter-5" queryTableFieldId="26"/>
    <tableColumn id="27" xr3:uid="{07923F25-3F76-4E5B-854C-13B5A64FF229}" uniqueName="27" name="depth-1073_iter-6" queryTableFieldId="27"/>
    <tableColumn id="28" xr3:uid="{0FD9BBD5-D8E6-4BCC-85FD-1C8918491320}" uniqueName="28" name="depth-1073_iter-7" queryTableFieldId="28"/>
    <tableColumn id="29" xr3:uid="{9AE32964-E02B-41D5-BC07-91E812C16CB4}" uniqueName="29" name="depth-1073_iter-8" queryTableFieldId="29"/>
    <tableColumn id="30" xr3:uid="{EE5DDAE7-5D61-4AB0-8DFA-578E63B5EF74}" uniqueName="30" name="depth-1073_iter-9" queryTableFieldId="30"/>
    <tableColumn id="31" xr3:uid="{AC282A3B-634D-42F3-BA8F-BC7AC8622737}" uniqueName="31" name="depth-1073_iter-10" queryTableFieldId="31"/>
    <tableColumn id="111" xr3:uid="{EFE00CF1-5B66-476B-A046-7AA38A77ED43}" uniqueName="111" name="depth-1073-average" queryTableFieldId="111"/>
    <tableColumn id="32" xr3:uid="{0D47BA88-FE8D-4F87-AD52-579DE8BB209E}" uniqueName="32" name="depth-1609_iter-1" queryTableFieldId="32"/>
    <tableColumn id="33" xr3:uid="{6D7D4C9A-24B2-4A82-AA07-A35C5AC2C286}" uniqueName="33" name="depth-1609_iter-2" queryTableFieldId="33"/>
    <tableColumn id="34" xr3:uid="{62BD03AB-DC6A-4FB3-AA3D-F3E604C9FBDB}" uniqueName="34" name="depth-1609_iter-3" queryTableFieldId="34"/>
    <tableColumn id="35" xr3:uid="{D6E372DA-121C-430E-AAD2-DC5D6405E912}" uniqueName="35" name="depth-1609_iter-4" queryTableFieldId="35"/>
    <tableColumn id="36" xr3:uid="{C0101DB8-8928-4437-95E1-1577118F0238}" uniqueName="36" name="depth-1609_iter-5" queryTableFieldId="36"/>
    <tableColumn id="37" xr3:uid="{F29A7853-FBA1-4A36-9F12-DD7C8CD65021}" uniqueName="37" name="depth-1609_iter-6" queryTableFieldId="37"/>
    <tableColumn id="38" xr3:uid="{4D9F2E06-F825-49E0-9657-A0ED5317A01B}" uniqueName="38" name="depth-1609_iter-7" queryTableFieldId="38"/>
    <tableColumn id="39" xr3:uid="{AFA125AE-518D-420C-86AA-949931149C1D}" uniqueName="39" name="depth-1609_iter-8" queryTableFieldId="39"/>
    <tableColumn id="40" xr3:uid="{C8ED6C17-08E2-44C4-8900-E988487DF33F}" uniqueName="40" name="depth-1609_iter-9" queryTableFieldId="40"/>
    <tableColumn id="41" xr3:uid="{2B09F0D1-2D90-41D3-A628-A6E1D21D8460}" uniqueName="41" name="depth-1609_iter-10" queryTableFieldId="41"/>
    <tableColumn id="112" xr3:uid="{553B3CD0-B5F6-4CAC-8A8C-B2972E713860}" uniqueName="112" name="depth-1609-average" queryTableFieldId="112"/>
    <tableColumn id="42" xr3:uid="{5A21D476-3426-4B1E-A269-20E34BE1C83C}" uniqueName="42" name="depth-2145_iter-1" queryTableFieldId="42"/>
    <tableColumn id="43" xr3:uid="{37C33294-A983-4189-B48B-5C6803DB0214}" uniqueName="43" name="depth-2145_iter-2" queryTableFieldId="43"/>
    <tableColumn id="44" xr3:uid="{A0CE3E05-BE6B-4F6F-B3A2-11CB20732D2E}" uniqueName="44" name="depth-2145_iter-3" queryTableFieldId="44"/>
    <tableColumn id="45" xr3:uid="{88A8DC7D-7033-4CCE-B5A7-5B416665BAFB}" uniqueName="45" name="depth-2145_iter-4" queryTableFieldId="45"/>
    <tableColumn id="46" xr3:uid="{62327EB9-F541-42A2-BB17-BD9EDE4EE16D}" uniqueName="46" name="depth-2145_iter-5" queryTableFieldId="46"/>
    <tableColumn id="47" xr3:uid="{6471E6A6-98A2-4E21-A9CB-F81723F1AEB0}" uniqueName="47" name="depth-2145_iter-6" queryTableFieldId="47"/>
    <tableColumn id="48" xr3:uid="{5CE25E97-4247-47BE-930C-015FB494C22D}" uniqueName="48" name="depth-2145_iter-7" queryTableFieldId="48"/>
    <tableColumn id="49" xr3:uid="{743CF294-8026-4186-AD69-CDF03EB21A3A}" uniqueName="49" name="depth-2145_iter-8" queryTableFieldId="49"/>
    <tableColumn id="50" xr3:uid="{6A768BBB-0D0E-4317-873B-E5B69316A887}" uniqueName="50" name="depth-2145_iter-9" queryTableFieldId="50"/>
    <tableColumn id="51" xr3:uid="{76CB9DD3-EEBD-4EF4-B329-8782485DADAA}" uniqueName="51" name="depth-2145_iter-10" queryTableFieldId="51"/>
    <tableColumn id="113" xr3:uid="{7A6DD17B-D498-4775-8BF5-F4222505F0AF}" uniqueName="113" name="depth-2145-average" queryTableFieldId="113"/>
    <tableColumn id="52" xr3:uid="{09FA08FC-710C-4A38-84A6-91283ACF5095}" uniqueName="52" name="depth-2682_iter-1" queryTableFieldId="52"/>
    <tableColumn id="53" xr3:uid="{FCE6ED20-50F0-4872-BE5D-7CA60119C46C}" uniqueName="53" name="depth-2682_iter-2" queryTableFieldId="53"/>
    <tableColumn id="54" xr3:uid="{BFCB2FA2-8832-480C-9C08-D7B7D41C295D}" uniqueName="54" name="depth-2682_iter-3" queryTableFieldId="54"/>
    <tableColumn id="55" xr3:uid="{23F19D66-E3DF-480C-8C25-C1538161CD16}" uniqueName="55" name="depth-2682_iter-4" queryTableFieldId="55"/>
    <tableColumn id="56" xr3:uid="{DFD9266C-876D-4F68-8F03-6F329E0489B1}" uniqueName="56" name="depth-2682_iter-5" queryTableFieldId="56"/>
    <tableColumn id="57" xr3:uid="{68269A99-104F-4357-BB8A-23E756441A38}" uniqueName="57" name="depth-2682_iter-6" queryTableFieldId="57"/>
    <tableColumn id="58" xr3:uid="{8BB537E3-B13B-4142-8F2A-B4D25334CF70}" uniqueName="58" name="depth-2682_iter-7" queryTableFieldId="58"/>
    <tableColumn id="59" xr3:uid="{C892F0AB-D6FD-4E09-B613-D869DC67E18D}" uniqueName="59" name="depth-2682_iter-8" queryTableFieldId="59"/>
    <tableColumn id="60" xr3:uid="{009093AE-355C-4280-97BD-7E07F632079B}" uniqueName="60" name="depth-2682_iter-9" queryTableFieldId="60"/>
    <tableColumn id="61" xr3:uid="{ABC7C201-D798-4EA6-8965-9D7DE2AAB4B0}" uniqueName="61" name="depth-2682_iter-10" queryTableFieldId="61"/>
    <tableColumn id="114" xr3:uid="{B0456904-B801-473D-B040-067CE0C3EF06}" uniqueName="114" name="depth-2682-average" queryTableFieldId="114"/>
    <tableColumn id="62" xr3:uid="{53373BFA-7CA2-4C07-A3C6-DCEC90DEB48C}" uniqueName="62" name="depth-3218_iter-1" queryTableFieldId="62"/>
    <tableColumn id="63" xr3:uid="{5C1440F1-8CA5-4F82-9122-A220B5BBCE96}" uniqueName="63" name="depth-3218_iter-2" queryTableFieldId="63"/>
    <tableColumn id="64" xr3:uid="{BDB15611-3D7A-4916-9902-D07FF4441216}" uniqueName="64" name="depth-3218_iter-3" queryTableFieldId="64"/>
    <tableColumn id="65" xr3:uid="{78E32261-1F9D-47C1-86B8-C903A7D6606B}" uniqueName="65" name="depth-3218_iter-4" queryTableFieldId="65"/>
    <tableColumn id="66" xr3:uid="{DAA6F8B5-4259-4A0B-A30D-35C4D1AF2F96}" uniqueName="66" name="depth-3218_iter-5" queryTableFieldId="66"/>
    <tableColumn id="67" xr3:uid="{8169F04B-670E-40E5-B3AB-C31A37FE22BC}" uniqueName="67" name="depth-3218_iter-6" queryTableFieldId="67"/>
    <tableColumn id="68" xr3:uid="{4959D880-299C-4843-9C1C-4A0DEF0FC3FD}" uniqueName="68" name="depth-3218_iter-7" queryTableFieldId="68"/>
    <tableColumn id="69" xr3:uid="{8978271E-6CD8-45AE-93B6-276AA2DE01AA}" uniqueName="69" name="depth-3218_iter-8" queryTableFieldId="69"/>
    <tableColumn id="70" xr3:uid="{06F69F4D-608A-41D8-A240-8A5F3FC26AD3}" uniqueName="70" name="depth-3218_iter-9" queryTableFieldId="70"/>
    <tableColumn id="71" xr3:uid="{3118B8FF-B117-453D-939B-EC47CEDC493D}" uniqueName="71" name="depth-3218_iter-10" queryTableFieldId="71"/>
    <tableColumn id="115" xr3:uid="{5B5BB59C-6EF4-4249-80C1-FF017C3B05AE}" uniqueName="115" name="depth-3218-average" queryTableFieldId="115"/>
    <tableColumn id="72" xr3:uid="{238846FF-B1D6-452F-B0DE-0189286D72D3}" uniqueName="72" name="depth-3754_iter-1" queryTableFieldId="72"/>
    <tableColumn id="73" xr3:uid="{F02BFBC9-DD38-484D-9ACA-F91DDA9BA87F}" uniqueName="73" name="depth-3754_iter-2" queryTableFieldId="73"/>
    <tableColumn id="74" xr3:uid="{9322F49A-CC6E-44B0-AFAB-B0693E92B9F6}" uniqueName="74" name="depth-3754_iter-3" queryTableFieldId="74"/>
    <tableColumn id="75" xr3:uid="{44FC88BA-220D-4AF8-8836-78D20F82F871}" uniqueName="75" name="depth-3754_iter-4" queryTableFieldId="75"/>
    <tableColumn id="76" xr3:uid="{7EDEE97F-8444-49AC-82C7-C7932612438E}" uniqueName="76" name="depth-3754_iter-5" queryTableFieldId="76"/>
    <tableColumn id="77" xr3:uid="{5FD9EDD0-2149-4B30-BD97-E6F718917A0E}" uniqueName="77" name="depth-3754_iter-6" queryTableFieldId="77"/>
    <tableColumn id="78" xr3:uid="{69B854B3-EFBD-4FCD-BD46-EFB1019BC31B}" uniqueName="78" name="depth-3754_iter-7" queryTableFieldId="78"/>
    <tableColumn id="79" xr3:uid="{CC123B41-274F-4D4B-BD6B-238C1ABDA2CE}" uniqueName="79" name="depth-3754_iter-8" queryTableFieldId="79"/>
    <tableColumn id="80" xr3:uid="{48BD7B30-BDEB-436C-A6A9-82DC9F4AC42E}" uniqueName="80" name="depth-3754_iter-9" queryTableFieldId="80"/>
    <tableColumn id="81" xr3:uid="{3B769CAD-50B3-4792-BDD4-2931A76DF455}" uniqueName="81" name="depth-3754_iter-10" queryTableFieldId="81"/>
    <tableColumn id="116" xr3:uid="{29938FDE-B77D-4020-999A-CCDE2910A2A4}" uniqueName="116" name="depth-3754-average" queryTableFieldId="116"/>
    <tableColumn id="82" xr3:uid="{0DFC6EF2-64A2-49EE-87C9-1059755ECF13}" uniqueName="82" name="depth-4290_iter-1" queryTableFieldId="82"/>
    <tableColumn id="83" xr3:uid="{67D53E91-65CC-45B7-8788-B55E3BEB0A90}" uniqueName="83" name="depth-4290_iter-2" queryTableFieldId="83"/>
    <tableColumn id="84" xr3:uid="{9C180022-90DE-4B0B-911A-509C7C49CCEC}" uniqueName="84" name="depth-4290_iter-3" queryTableFieldId="84"/>
    <tableColumn id="85" xr3:uid="{2CB5347E-1A06-425C-A3C4-B31CA49CC6E0}" uniqueName="85" name="depth-4290_iter-4" queryTableFieldId="85"/>
    <tableColumn id="86" xr3:uid="{BEEB9899-86C2-41E5-8E4A-AB2A08E121FC}" uniqueName="86" name="depth-4290_iter-5" queryTableFieldId="86"/>
    <tableColumn id="87" xr3:uid="{25DFD9D7-0143-42EC-A732-69414DD7D342}" uniqueName="87" name="depth-4290_iter-6" queryTableFieldId="87"/>
    <tableColumn id="88" xr3:uid="{B18F064B-F7F9-460C-B592-4D703E99DAC1}" uniqueName="88" name="depth-4290_iter-7" queryTableFieldId="88"/>
    <tableColumn id="89" xr3:uid="{3F32B805-63D1-45EE-ADA1-BF7A894B6CA1}" uniqueName="89" name="depth-4290_iter-8" queryTableFieldId="89"/>
    <tableColumn id="90" xr3:uid="{465E0044-20D2-45C4-B0E0-FC788AEF4BB5}" uniqueName="90" name="depth-4290_iter-9" queryTableFieldId="90"/>
    <tableColumn id="91" xr3:uid="{53FCD6C8-2867-40E6-B044-B2BEA2B0731F}" uniqueName="91" name="depth-4290_iter-10" queryTableFieldId="91"/>
    <tableColumn id="117" xr3:uid="{6CE39373-0F79-44EA-94F8-757119407447}" uniqueName="117" name="depth-4290-average" queryTableFieldId="117"/>
    <tableColumn id="92" xr3:uid="{9CFEDEF0-6C40-492D-8B9B-B278FA493A66}" uniqueName="92" name="depth-4827_iter-1" queryTableFieldId="92"/>
    <tableColumn id="93" xr3:uid="{934D7395-538A-4387-8045-904B06DBD60D}" uniqueName="93" name="depth-4827_iter-2" queryTableFieldId="93"/>
    <tableColumn id="94" xr3:uid="{9E522DB8-7014-4C46-967A-ECC3BC2EC49B}" uniqueName="94" name="depth-4827_iter-3" queryTableFieldId="94"/>
    <tableColumn id="95" xr3:uid="{94AAC484-B63E-41D6-9B0D-568327FF6142}" uniqueName="95" name="depth-4827_iter-4" queryTableFieldId="95"/>
    <tableColumn id="96" xr3:uid="{F2D68920-724E-408A-8938-56569F18852E}" uniqueName="96" name="depth-4827_iter-5" queryTableFieldId="96"/>
    <tableColumn id="97" xr3:uid="{F55BEEC6-B408-4E7B-A820-49D5D5E9E3CA}" uniqueName="97" name="depth-4827_iter-6" queryTableFieldId="97"/>
    <tableColumn id="98" xr3:uid="{3419ECC4-1DE5-4303-B087-DCA0BBED7FC3}" uniqueName="98" name="depth-4827_iter-7" queryTableFieldId="98"/>
    <tableColumn id="99" xr3:uid="{CE2059E0-3879-4323-AF1C-A244A51B8EF0}" uniqueName="99" name="depth-4827_iter-8" queryTableFieldId="99"/>
    <tableColumn id="100" xr3:uid="{1E9FFB0A-4A90-4AF5-A8B7-E0676EDD43FC}" uniqueName="100" name="depth-4827_iter-9" queryTableFieldId="100"/>
    <tableColumn id="101" xr3:uid="{9F89FD0C-EFA5-4760-9ADA-71C8DC1F48FA}" uniqueName="101" name="depth-4827_iter-10" queryTableFieldId="101"/>
    <tableColumn id="118" xr3:uid="{84C2FD69-0D67-4C9B-BB4D-D6900E45976B}" uniqueName="118" name="depth-4827-average" queryTableFieldId="118"/>
    <tableColumn id="102" xr3:uid="{CA50F4E6-CD08-4BAE-896F-59361E532771}" uniqueName="102" name="barcode" queryTableFieldId="102" dataDxfId="5"/>
    <tableColumn id="103" xr3:uid="{7E9CA8CC-ED39-4315-8E49-01370DA8FD94}" uniqueName="103" name="mouse_id" queryTableFieldId="103"/>
    <tableColumn id="104" xr3:uid="{5482B6EE-F76C-458D-A5BC-F980F62D5F82}" uniqueName="104" name="genotype" queryTableFieldId="104" dataDxfId="4"/>
    <tableColumn id="105" xr3:uid="{5A2C6974-9BDA-47C6-8E01-FA2B80F0BE2E}" uniqueName="105" name="cage_id" queryTableFieldId="105" dataDxfId="3"/>
    <tableColumn id="106" xr3:uid="{4AC08B10-27C6-4BF3-812D-1F02DEC7FB0F}" uniqueName="106" name="donor" queryTableFieldId="106" dataDxfId="2"/>
    <tableColumn id="107" xr3:uid="{201B5B75-980B-4085-B64F-1CE0ECAA81CF}" uniqueName="107" name="donor_status" queryTableFieldId="107" dataDxfId="1"/>
    <tableColumn id="108" xr3:uid="{E1EA04BC-FAD2-409E-97BE-E9ED52B49F74}" uniqueName="108" name="genotype_and_donor_status" queryTableFieldId="10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D9BB-BB8D-4A30-9C7E-01C83322F8D6}">
  <dimension ref="A1:DN79"/>
  <sheetViews>
    <sheetView tabSelected="1" topLeftCell="B65" zoomScale="93" workbookViewId="0">
      <selection activeCell="K75" sqref="K75"/>
    </sheetView>
  </sheetViews>
  <sheetFormatPr defaultRowHeight="14.5" x14ac:dyDescent="0.35"/>
  <cols>
    <col min="1" max="1" width="21.26953125" bestFit="1" customWidth="1"/>
    <col min="2" max="10" width="14.90625" bestFit="1" customWidth="1"/>
    <col min="11" max="11" width="16" bestFit="1" customWidth="1"/>
    <col min="12" max="12" width="16" customWidth="1"/>
    <col min="13" max="21" width="17" bestFit="1" customWidth="1"/>
    <col min="22" max="31" width="18" bestFit="1" customWidth="1"/>
    <col min="32" max="32" width="19" bestFit="1" customWidth="1"/>
    <col min="33" max="33" width="18" bestFit="1" customWidth="1"/>
    <col min="34" max="34" width="18" customWidth="1"/>
    <col min="35" max="42" width="18" bestFit="1" customWidth="1"/>
    <col min="43" max="43" width="19" bestFit="1" customWidth="1"/>
    <col min="44" max="52" width="18" bestFit="1" customWidth="1"/>
    <col min="53" max="53" width="19" bestFit="1" customWidth="1"/>
    <col min="54" max="62" width="18" bestFit="1" customWidth="1"/>
    <col min="63" max="63" width="19" bestFit="1" customWidth="1"/>
    <col min="64" max="66" width="18" bestFit="1" customWidth="1"/>
    <col min="67" max="67" width="18" customWidth="1"/>
    <col min="68" max="73" width="18" bestFit="1" customWidth="1"/>
    <col min="74" max="74" width="19" bestFit="1" customWidth="1"/>
    <col min="75" max="77" width="18" bestFit="1" customWidth="1"/>
    <col min="78" max="78" width="18" customWidth="1"/>
    <col min="79" max="84" width="18" bestFit="1" customWidth="1"/>
    <col min="85" max="85" width="19" bestFit="1" customWidth="1"/>
    <col min="86" max="94" width="18" bestFit="1" customWidth="1"/>
    <col min="95" max="95" width="19" bestFit="1" customWidth="1"/>
    <col min="96" max="104" width="18" bestFit="1" customWidth="1"/>
    <col min="105" max="105" width="19" bestFit="1" customWidth="1"/>
    <col min="106" max="106" width="15.6328125" bestFit="1" customWidth="1"/>
    <col min="107" max="107" width="11.1796875" bestFit="1" customWidth="1"/>
    <col min="108" max="108" width="10.7265625" bestFit="1" customWidth="1"/>
    <col min="109" max="109" width="9.453125" bestFit="1" customWidth="1"/>
    <col min="110" max="110" width="7.90625" bestFit="1" customWidth="1"/>
    <col min="111" max="111" width="13.90625" bestFit="1" customWidth="1"/>
    <col min="112" max="112" width="26.6328125" bestFit="1" customWidth="1"/>
  </cols>
  <sheetData>
    <row r="1" spans="1:1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233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234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235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236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237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238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239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240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241</v>
      </c>
      <c r="CW1" t="s">
        <v>91</v>
      </c>
      <c r="CX1" t="s">
        <v>92</v>
      </c>
      <c r="CY1" t="s">
        <v>93</v>
      </c>
      <c r="CZ1" t="s">
        <v>94</v>
      </c>
      <c r="DA1" t="s">
        <v>95</v>
      </c>
      <c r="DB1" t="s">
        <v>96</v>
      </c>
      <c r="DC1" t="s">
        <v>97</v>
      </c>
      <c r="DD1" t="s">
        <v>98</v>
      </c>
      <c r="DE1" t="s">
        <v>99</v>
      </c>
      <c r="DF1" t="s">
        <v>100</v>
      </c>
      <c r="DG1" t="s">
        <v>242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</row>
    <row r="2" spans="1:118" x14ac:dyDescent="0.35">
      <c r="A2" t="s">
        <v>167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f>AVERAGE(rarefaction_analysis_ad_chao1[[#This Row],[depth-1_iter-1]:[depth-1_iter-10]])</f>
        <v>1</v>
      </c>
      <c r="DH2" t="s">
        <v>168</v>
      </c>
      <c r="DI2">
        <v>537</v>
      </c>
      <c r="DJ2" t="s">
        <v>110</v>
      </c>
      <c r="DK2" t="s">
        <v>159</v>
      </c>
      <c r="DL2" t="s">
        <v>160</v>
      </c>
      <c r="DM2" t="s">
        <v>161</v>
      </c>
      <c r="DN2" t="s">
        <v>169</v>
      </c>
    </row>
    <row r="3" spans="1:118" x14ac:dyDescent="0.35">
      <c r="A3" t="s">
        <v>172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f>AVERAGE(rarefaction_analysis_ad_chao1[[#This Row],[depth-1_iter-1]:[depth-1_iter-10]])</f>
        <v>1</v>
      </c>
      <c r="M3">
        <v>34</v>
      </c>
      <c r="N3">
        <v>32</v>
      </c>
      <c r="O3">
        <v>29.5</v>
      </c>
      <c r="P3">
        <v>30.2</v>
      </c>
      <c r="Q3">
        <v>34</v>
      </c>
      <c r="R3">
        <v>34</v>
      </c>
      <c r="S3">
        <v>30.2</v>
      </c>
      <c r="T3">
        <v>30.666666666666668</v>
      </c>
      <c r="U3">
        <v>33.25</v>
      </c>
      <c r="V3">
        <v>38.6</v>
      </c>
      <c r="W3">
        <f>AVERAGE(rarefaction_analysis_ad_chao1[[#This Row],[depth-537_iter-1]:[depth-537_iter-10]])</f>
        <v>32.641666666666666</v>
      </c>
      <c r="X3">
        <v>32.75</v>
      </c>
      <c r="Y3">
        <v>31</v>
      </c>
      <c r="Z3">
        <v>37.333333333333336</v>
      </c>
      <c r="AA3">
        <v>34</v>
      </c>
      <c r="AB3">
        <v>33.25</v>
      </c>
      <c r="AC3">
        <v>36.200000000000003</v>
      </c>
      <c r="AD3">
        <v>36</v>
      </c>
      <c r="AE3">
        <v>34</v>
      </c>
      <c r="AF3">
        <v>34.5</v>
      </c>
      <c r="AG3">
        <v>35</v>
      </c>
      <c r="AH3">
        <f>AVERAGE(rarefaction_analysis_ad_chao1[[#This Row],[depth-1073_iter-1]:[depth-1073_iter-10]])</f>
        <v>34.403333333333336</v>
      </c>
      <c r="AI3">
        <v>36.200000000000003</v>
      </c>
      <c r="AJ3">
        <v>37</v>
      </c>
      <c r="AK3">
        <v>37</v>
      </c>
      <c r="AL3">
        <v>34</v>
      </c>
      <c r="AM3">
        <v>37</v>
      </c>
      <c r="AN3">
        <v>34.6</v>
      </c>
      <c r="AO3">
        <v>37</v>
      </c>
      <c r="AP3">
        <v>34.333333333333336</v>
      </c>
      <c r="AQ3">
        <v>35.200000000000003</v>
      </c>
      <c r="AR3">
        <v>34.333333333333336</v>
      </c>
      <c r="AS3">
        <f>AVERAGE(rarefaction_analysis_ad_chao1[[#This Row],[depth-1609_iter-1]:[depth-1609_iter-10]])</f>
        <v>35.666666666666664</v>
      </c>
      <c r="AT3">
        <v>42</v>
      </c>
      <c r="AU3">
        <v>35</v>
      </c>
      <c r="AV3">
        <v>35.75</v>
      </c>
      <c r="AW3">
        <v>34</v>
      </c>
      <c r="AX3">
        <v>38</v>
      </c>
      <c r="AY3">
        <v>35</v>
      </c>
      <c r="AZ3">
        <v>36</v>
      </c>
      <c r="BA3">
        <v>36.333333333333336</v>
      </c>
      <c r="BB3">
        <v>35.5</v>
      </c>
      <c r="BC3">
        <v>35</v>
      </c>
      <c r="BD3">
        <f>AVERAGE(rarefaction_analysis_ad_chao1[[#This Row],[depth-2145_iter-1]:[depth-2145_iter-10]])</f>
        <v>36.258333333333333</v>
      </c>
      <c r="BE3">
        <v>36.333333333333336</v>
      </c>
      <c r="BF3">
        <v>33</v>
      </c>
      <c r="BG3">
        <v>36</v>
      </c>
      <c r="BH3">
        <v>37.5</v>
      </c>
      <c r="BI3">
        <v>35</v>
      </c>
      <c r="BJ3">
        <v>37.5</v>
      </c>
      <c r="BK3">
        <v>36.25</v>
      </c>
      <c r="BL3">
        <v>36.333333333333336</v>
      </c>
      <c r="BM3">
        <v>36.333333333333336</v>
      </c>
      <c r="BN3">
        <v>35</v>
      </c>
      <c r="BO3">
        <f>AVERAGE(rarefaction_analysis_ad_chao1[[#This Row],[depth-2682_iter-1]:[depth-2682_iter-10]])</f>
        <v>35.924999999999997</v>
      </c>
      <c r="BP3">
        <v>37</v>
      </c>
      <c r="BQ3">
        <v>36.333333333333336</v>
      </c>
      <c r="BR3">
        <v>36.333333333333336</v>
      </c>
      <c r="BS3">
        <v>36</v>
      </c>
      <c r="BT3">
        <v>36</v>
      </c>
      <c r="BU3">
        <v>36</v>
      </c>
      <c r="BV3">
        <v>36</v>
      </c>
      <c r="BW3">
        <v>36</v>
      </c>
      <c r="BX3">
        <v>36.333333333333336</v>
      </c>
      <c r="BY3">
        <v>36</v>
      </c>
      <c r="BZ3">
        <f>AVERAGE(rarefaction_analysis_ad_chao1[[#This Row],[depth-3218_iter-1]:[depth-3218_iter-10]])</f>
        <v>36.200000000000003</v>
      </c>
      <c r="CA3">
        <v>36</v>
      </c>
      <c r="CB3">
        <v>36</v>
      </c>
      <c r="CC3">
        <v>36</v>
      </c>
      <c r="CD3">
        <v>36</v>
      </c>
      <c r="CE3">
        <v>36</v>
      </c>
      <c r="CF3">
        <v>36</v>
      </c>
      <c r="CG3">
        <v>36</v>
      </c>
      <c r="CH3">
        <v>36</v>
      </c>
      <c r="CI3">
        <v>36</v>
      </c>
      <c r="CJ3">
        <v>36</v>
      </c>
      <c r="CK3">
        <f>AVERAGE(rarefaction_analysis_ad_chao1[[#This Row],[depth-3754_iter-1]:[depth-3754_iter-10]])</f>
        <v>36</v>
      </c>
      <c r="CL3">
        <v>36</v>
      </c>
      <c r="CM3">
        <v>36</v>
      </c>
      <c r="CN3">
        <v>36</v>
      </c>
      <c r="CO3">
        <v>36</v>
      </c>
      <c r="CP3">
        <v>36</v>
      </c>
      <c r="CQ3">
        <v>36</v>
      </c>
      <c r="CR3">
        <v>36</v>
      </c>
      <c r="CS3">
        <v>36</v>
      </c>
      <c r="CT3">
        <v>36</v>
      </c>
      <c r="CU3">
        <v>36</v>
      </c>
      <c r="CV3">
        <f>AVERAGE(rarefaction_analysis_ad_chao1[[#This Row],[depth-4290_iter-1]:[depth-4290_iter-10]])</f>
        <v>36</v>
      </c>
      <c r="DH3" t="s">
        <v>173</v>
      </c>
      <c r="DI3">
        <v>537</v>
      </c>
      <c r="DJ3" t="s">
        <v>110</v>
      </c>
      <c r="DK3" t="s">
        <v>159</v>
      </c>
      <c r="DL3" t="s">
        <v>160</v>
      </c>
      <c r="DM3" t="s">
        <v>161</v>
      </c>
      <c r="DN3" t="s">
        <v>169</v>
      </c>
    </row>
    <row r="4" spans="1:118" x14ac:dyDescent="0.35">
      <c r="A4" t="s">
        <v>174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f>AVERAGE(rarefaction_analysis_ad_chao1[[#This Row],[depth-1_iter-1]:[depth-1_iter-10]])</f>
        <v>1</v>
      </c>
      <c r="M4">
        <v>35.142857142857146</v>
      </c>
      <c r="N4">
        <v>35.5</v>
      </c>
      <c r="O4">
        <v>34.428571428571431</v>
      </c>
      <c r="P4">
        <v>34.5</v>
      </c>
      <c r="Q4">
        <v>37.5</v>
      </c>
      <c r="R4">
        <v>33.428571428571431</v>
      </c>
      <c r="S4">
        <v>40.6</v>
      </c>
      <c r="T4">
        <v>33.666666666666664</v>
      </c>
      <c r="U4">
        <v>35.666666666666664</v>
      </c>
      <c r="V4">
        <v>33.75</v>
      </c>
      <c r="W4">
        <f>AVERAGE(rarefaction_analysis_ad_chao1[[#This Row],[depth-537_iter-1]:[depth-537_iter-10]])</f>
        <v>35.418333333333337</v>
      </c>
      <c r="X4">
        <v>35</v>
      </c>
      <c r="Y4">
        <v>36.25</v>
      </c>
      <c r="Z4">
        <v>36.166666666666657</v>
      </c>
      <c r="AA4">
        <v>36.5</v>
      </c>
      <c r="AB4">
        <v>37</v>
      </c>
      <c r="AC4">
        <v>35</v>
      </c>
      <c r="AD4">
        <v>35</v>
      </c>
      <c r="AE4">
        <v>35</v>
      </c>
      <c r="AF4">
        <v>35</v>
      </c>
      <c r="AG4">
        <v>35.200000000000003</v>
      </c>
      <c r="AH4">
        <f>AVERAGE(rarefaction_analysis_ad_chao1[[#This Row],[depth-1073_iter-1]:[depth-1073_iter-10]])</f>
        <v>35.611666666666665</v>
      </c>
      <c r="AI4">
        <v>36</v>
      </c>
      <c r="AJ4">
        <v>36</v>
      </c>
      <c r="AK4">
        <v>36</v>
      </c>
      <c r="AL4">
        <v>36</v>
      </c>
      <c r="AM4">
        <v>36</v>
      </c>
      <c r="AN4">
        <v>36</v>
      </c>
      <c r="AO4">
        <v>36</v>
      </c>
      <c r="AP4">
        <v>36.333333333333336</v>
      </c>
      <c r="AQ4">
        <v>37</v>
      </c>
      <c r="AR4">
        <v>36</v>
      </c>
      <c r="AS4">
        <f>AVERAGE(rarefaction_analysis_ad_chao1[[#This Row],[depth-1609_iter-1]:[depth-1609_iter-10]])</f>
        <v>36.133333333333333</v>
      </c>
      <c r="AT4">
        <v>36</v>
      </c>
      <c r="AU4">
        <v>36</v>
      </c>
      <c r="AV4">
        <v>36</v>
      </c>
      <c r="AW4">
        <v>36</v>
      </c>
      <c r="AX4">
        <v>36</v>
      </c>
      <c r="AY4">
        <v>36</v>
      </c>
      <c r="AZ4">
        <v>36</v>
      </c>
      <c r="BA4">
        <v>36</v>
      </c>
      <c r="BB4">
        <v>36</v>
      </c>
      <c r="BC4">
        <v>36</v>
      </c>
      <c r="BD4">
        <f>AVERAGE(rarefaction_analysis_ad_chao1[[#This Row],[depth-2145_iter-1]:[depth-2145_iter-10]])</f>
        <v>36</v>
      </c>
      <c r="BO4" t="e">
        <f>AVERAGE(rarefaction_analysis_ad_chao1[[#This Row],[depth-2682_iter-1]:[depth-2682_iter-10]])</f>
        <v>#DIV/0!</v>
      </c>
      <c r="BZ4" t="e">
        <f>AVERAGE(rarefaction_analysis_ad_chao1[[#This Row],[depth-3218_iter-1]:[depth-3218_iter-10]])</f>
        <v>#DIV/0!</v>
      </c>
      <c r="CK4" t="e">
        <f>AVERAGE(rarefaction_analysis_ad_chao1[[#This Row],[depth-3754_iter-1]:[depth-3754_iter-10]])</f>
        <v>#DIV/0!</v>
      </c>
      <c r="CV4" t="e">
        <f>AVERAGE(rarefaction_analysis_ad_chao1[[#This Row],[depth-4290_iter-1]:[depth-4290_iter-10]])</f>
        <v>#DIV/0!</v>
      </c>
      <c r="DH4" t="s">
        <v>175</v>
      </c>
      <c r="DI4">
        <v>538</v>
      </c>
      <c r="DJ4" t="s">
        <v>110</v>
      </c>
      <c r="DK4" t="s">
        <v>176</v>
      </c>
      <c r="DL4" t="s">
        <v>160</v>
      </c>
      <c r="DM4" t="s">
        <v>161</v>
      </c>
      <c r="DN4" t="s">
        <v>169</v>
      </c>
    </row>
    <row r="5" spans="1:118" x14ac:dyDescent="0.35">
      <c r="A5" t="s">
        <v>181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f>AVERAGE(rarefaction_analysis_ad_chao1[[#This Row],[depth-1_iter-1]:[depth-1_iter-10]])</f>
        <v>1</v>
      </c>
      <c r="M5">
        <v>33</v>
      </c>
      <c r="N5">
        <v>32</v>
      </c>
      <c r="O5">
        <v>28</v>
      </c>
      <c r="P5">
        <v>31.5</v>
      </c>
      <c r="Q5">
        <v>32.5</v>
      </c>
      <c r="R5">
        <v>31</v>
      </c>
      <c r="S5">
        <v>35.5</v>
      </c>
      <c r="T5">
        <v>40</v>
      </c>
      <c r="U5">
        <v>32.333333333333336</v>
      </c>
      <c r="V5">
        <v>30</v>
      </c>
      <c r="W5">
        <f>AVERAGE(rarefaction_analysis_ad_chao1[[#This Row],[depth-537_iter-1]:[depth-537_iter-10]])</f>
        <v>32.583333333333329</v>
      </c>
      <c r="X5">
        <v>34.5</v>
      </c>
      <c r="Y5">
        <v>30</v>
      </c>
      <c r="Z5">
        <v>33</v>
      </c>
      <c r="AA5">
        <v>31</v>
      </c>
      <c r="AB5">
        <v>34.5</v>
      </c>
      <c r="AC5">
        <v>32</v>
      </c>
      <c r="AD5">
        <v>34.200000000000003</v>
      </c>
      <c r="AE5">
        <v>33.25</v>
      </c>
      <c r="AF5">
        <v>33.25</v>
      </c>
      <c r="AG5">
        <v>35</v>
      </c>
      <c r="AH5">
        <f>AVERAGE(rarefaction_analysis_ad_chao1[[#This Row],[depth-1073_iter-1]:[depth-1073_iter-10]])</f>
        <v>33.07</v>
      </c>
      <c r="AI5">
        <v>34.5</v>
      </c>
      <c r="AJ5">
        <v>33</v>
      </c>
      <c r="AK5">
        <v>33.5</v>
      </c>
      <c r="AL5">
        <v>32</v>
      </c>
      <c r="AM5">
        <v>33</v>
      </c>
      <c r="AN5">
        <v>34.5</v>
      </c>
      <c r="AO5">
        <v>32</v>
      </c>
      <c r="AP5">
        <v>32</v>
      </c>
      <c r="AQ5">
        <v>32</v>
      </c>
      <c r="AR5">
        <v>34</v>
      </c>
      <c r="AS5">
        <f>AVERAGE(rarefaction_analysis_ad_chao1[[#This Row],[depth-1609_iter-1]:[depth-1609_iter-10]])</f>
        <v>33.049999999999997</v>
      </c>
      <c r="AT5">
        <v>33</v>
      </c>
      <c r="AU5">
        <v>33</v>
      </c>
      <c r="AV5">
        <v>33</v>
      </c>
      <c r="AW5">
        <v>33</v>
      </c>
      <c r="AX5">
        <v>33</v>
      </c>
      <c r="AY5">
        <v>33</v>
      </c>
      <c r="AZ5">
        <v>33</v>
      </c>
      <c r="BA5">
        <v>33</v>
      </c>
      <c r="BB5">
        <v>33</v>
      </c>
      <c r="BC5">
        <v>33</v>
      </c>
      <c r="BD5">
        <f>AVERAGE(rarefaction_analysis_ad_chao1[[#This Row],[depth-2145_iter-1]:[depth-2145_iter-10]])</f>
        <v>33</v>
      </c>
      <c r="BE5">
        <v>33</v>
      </c>
      <c r="BF5">
        <v>33</v>
      </c>
      <c r="BG5">
        <v>33</v>
      </c>
      <c r="BH5">
        <v>33</v>
      </c>
      <c r="BI5">
        <v>33</v>
      </c>
      <c r="BJ5">
        <v>33</v>
      </c>
      <c r="BK5">
        <v>33</v>
      </c>
      <c r="BL5">
        <v>33</v>
      </c>
      <c r="BM5">
        <v>33</v>
      </c>
      <c r="BN5">
        <v>33</v>
      </c>
      <c r="BO5">
        <f>AVERAGE(rarefaction_analysis_ad_chao1[[#This Row],[depth-2682_iter-1]:[depth-2682_iter-10]])</f>
        <v>33</v>
      </c>
      <c r="BP5">
        <v>33</v>
      </c>
      <c r="BQ5">
        <v>33</v>
      </c>
      <c r="BR5">
        <v>33</v>
      </c>
      <c r="BS5">
        <v>33</v>
      </c>
      <c r="BT5">
        <v>33</v>
      </c>
      <c r="BU5">
        <v>33</v>
      </c>
      <c r="BV5">
        <v>33</v>
      </c>
      <c r="BW5">
        <v>33</v>
      </c>
      <c r="BX5">
        <v>33</v>
      </c>
      <c r="BY5">
        <v>33</v>
      </c>
      <c r="BZ5">
        <f>AVERAGE(rarefaction_analysis_ad_chao1[[#This Row],[depth-3218_iter-1]:[depth-3218_iter-10]])</f>
        <v>33</v>
      </c>
      <c r="CA5">
        <v>33</v>
      </c>
      <c r="CB5">
        <v>33</v>
      </c>
      <c r="CC5">
        <v>33</v>
      </c>
      <c r="CD5">
        <v>33</v>
      </c>
      <c r="CE5">
        <v>33</v>
      </c>
      <c r="CF5">
        <v>33</v>
      </c>
      <c r="CG5">
        <v>33</v>
      </c>
      <c r="CH5">
        <v>33</v>
      </c>
      <c r="CI5">
        <v>33</v>
      </c>
      <c r="CJ5">
        <v>33</v>
      </c>
      <c r="CK5">
        <f>AVERAGE(rarefaction_analysis_ad_chao1[[#This Row],[depth-3754_iter-1]:[depth-3754_iter-10]])</f>
        <v>33</v>
      </c>
      <c r="CV5" t="e">
        <f>AVERAGE(rarefaction_analysis_ad_chao1[[#This Row],[depth-4290_iter-1]:[depth-4290_iter-10]])</f>
        <v>#DIV/0!</v>
      </c>
      <c r="DH5" t="s">
        <v>182</v>
      </c>
      <c r="DI5">
        <v>538</v>
      </c>
      <c r="DJ5" t="s">
        <v>110</v>
      </c>
      <c r="DK5" t="s">
        <v>176</v>
      </c>
      <c r="DL5" t="s">
        <v>160</v>
      </c>
      <c r="DM5" t="s">
        <v>161</v>
      </c>
      <c r="DN5" t="s">
        <v>169</v>
      </c>
    </row>
    <row r="6" spans="1:118" x14ac:dyDescent="0.35">
      <c r="A6" t="s">
        <v>187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f>AVERAGE(rarefaction_analysis_ad_chao1[[#This Row],[depth-1_iter-1]:[depth-1_iter-10]])</f>
        <v>1</v>
      </c>
      <c r="M6">
        <v>53.6</v>
      </c>
      <c r="N6">
        <v>56.142857142857139</v>
      </c>
      <c r="O6">
        <v>51</v>
      </c>
      <c r="P6">
        <v>48</v>
      </c>
      <c r="Q6">
        <v>49.857142857142847</v>
      </c>
      <c r="R6">
        <v>51.875</v>
      </c>
      <c r="S6">
        <v>54.857142857142847</v>
      </c>
      <c r="T6">
        <v>46.363636363636367</v>
      </c>
      <c r="U6">
        <v>49.272727272727273</v>
      </c>
      <c r="V6">
        <v>49.111111111111121</v>
      </c>
      <c r="W6">
        <f>AVERAGE(rarefaction_analysis_ad_chao1[[#This Row],[depth-537_iter-1]:[depth-537_iter-10]])</f>
        <v>51.007961760461754</v>
      </c>
      <c r="X6">
        <v>53.5</v>
      </c>
      <c r="Y6">
        <v>55</v>
      </c>
      <c r="Z6">
        <v>60.5</v>
      </c>
      <c r="AA6">
        <v>59.2</v>
      </c>
      <c r="AB6">
        <v>52.363636363636367</v>
      </c>
      <c r="AC6">
        <v>61</v>
      </c>
      <c r="AD6">
        <v>52.857142857142847</v>
      </c>
      <c r="AE6">
        <v>59.5</v>
      </c>
      <c r="AF6">
        <v>51</v>
      </c>
      <c r="AG6">
        <v>50.428571428571431</v>
      </c>
      <c r="AH6">
        <f>AVERAGE(rarefaction_analysis_ad_chao1[[#This Row],[depth-1073_iter-1]:[depth-1073_iter-10]])</f>
        <v>55.534935064935063</v>
      </c>
      <c r="AI6">
        <v>51.6</v>
      </c>
      <c r="AJ6">
        <v>53.5</v>
      </c>
      <c r="AK6">
        <v>53.142857142857146</v>
      </c>
      <c r="AL6">
        <v>52</v>
      </c>
      <c r="AM6">
        <v>53.5</v>
      </c>
      <c r="AN6">
        <v>54.857142857142847</v>
      </c>
      <c r="AO6">
        <v>55.2</v>
      </c>
      <c r="AP6">
        <v>53.2</v>
      </c>
      <c r="AQ6">
        <v>53.25</v>
      </c>
      <c r="AR6">
        <v>53</v>
      </c>
      <c r="AS6">
        <f>AVERAGE(rarefaction_analysis_ad_chao1[[#This Row],[depth-1609_iter-1]:[depth-1609_iter-10]])</f>
        <v>53.325000000000003</v>
      </c>
      <c r="AT6">
        <v>54.375</v>
      </c>
      <c r="AU6">
        <v>52</v>
      </c>
      <c r="AV6">
        <v>52</v>
      </c>
      <c r="AW6">
        <v>54.75</v>
      </c>
      <c r="AX6">
        <v>54.142857142857146</v>
      </c>
      <c r="AY6">
        <v>53</v>
      </c>
      <c r="AZ6">
        <v>53.166666666666657</v>
      </c>
      <c r="BA6">
        <v>54.125</v>
      </c>
      <c r="BB6">
        <v>53.2</v>
      </c>
      <c r="BC6">
        <v>54.6</v>
      </c>
      <c r="BD6">
        <f>AVERAGE(rarefaction_analysis_ad_chao1[[#This Row],[depth-2145_iter-1]:[depth-2145_iter-10]])</f>
        <v>53.535952380952381</v>
      </c>
      <c r="BE6">
        <v>54</v>
      </c>
      <c r="BF6">
        <v>54.333333333333336</v>
      </c>
      <c r="BG6">
        <v>54</v>
      </c>
      <c r="BH6">
        <v>54.5</v>
      </c>
      <c r="BI6">
        <v>53</v>
      </c>
      <c r="BJ6">
        <v>54.5</v>
      </c>
      <c r="BK6">
        <v>53</v>
      </c>
      <c r="BL6">
        <v>54.5</v>
      </c>
      <c r="BM6">
        <v>54.5</v>
      </c>
      <c r="BN6">
        <v>54</v>
      </c>
      <c r="BO6">
        <f>AVERAGE(rarefaction_analysis_ad_chao1[[#This Row],[depth-2682_iter-1]:[depth-2682_iter-10]])</f>
        <v>54.033333333333339</v>
      </c>
      <c r="BP6">
        <v>53</v>
      </c>
      <c r="BQ6">
        <v>54</v>
      </c>
      <c r="BR6">
        <v>57</v>
      </c>
      <c r="BS6">
        <v>54.5</v>
      </c>
      <c r="BT6">
        <v>55</v>
      </c>
      <c r="BU6">
        <v>54</v>
      </c>
      <c r="BV6">
        <v>53</v>
      </c>
      <c r="BW6">
        <v>54</v>
      </c>
      <c r="BX6">
        <v>54</v>
      </c>
      <c r="BY6">
        <v>54.5</v>
      </c>
      <c r="BZ6">
        <f>AVERAGE(rarefaction_analysis_ad_chao1[[#This Row],[depth-3218_iter-1]:[depth-3218_iter-10]])</f>
        <v>54.3</v>
      </c>
      <c r="CA6">
        <v>54</v>
      </c>
      <c r="CB6">
        <v>54</v>
      </c>
      <c r="CC6">
        <v>54</v>
      </c>
      <c r="CD6">
        <v>54</v>
      </c>
      <c r="CE6">
        <v>54</v>
      </c>
      <c r="CF6">
        <v>54</v>
      </c>
      <c r="CG6">
        <v>54</v>
      </c>
      <c r="CH6">
        <v>54</v>
      </c>
      <c r="CI6">
        <v>54</v>
      </c>
      <c r="CJ6">
        <v>54</v>
      </c>
      <c r="CK6">
        <f>AVERAGE(rarefaction_analysis_ad_chao1[[#This Row],[depth-3754_iter-1]:[depth-3754_iter-10]])</f>
        <v>54</v>
      </c>
      <c r="CL6">
        <v>54</v>
      </c>
      <c r="CM6">
        <v>54</v>
      </c>
      <c r="CN6">
        <v>54</v>
      </c>
      <c r="CO6">
        <v>54</v>
      </c>
      <c r="CP6">
        <v>54</v>
      </c>
      <c r="CQ6">
        <v>54</v>
      </c>
      <c r="CR6">
        <v>54</v>
      </c>
      <c r="CS6">
        <v>54</v>
      </c>
      <c r="CT6">
        <v>54</v>
      </c>
      <c r="CU6">
        <v>54</v>
      </c>
      <c r="CV6">
        <f>AVERAGE(rarefaction_analysis_ad_chao1[[#This Row],[depth-4290_iter-1]:[depth-4290_iter-10]])</f>
        <v>54</v>
      </c>
      <c r="DH6" t="s">
        <v>188</v>
      </c>
      <c r="DI6">
        <v>537</v>
      </c>
      <c r="DJ6" t="s">
        <v>110</v>
      </c>
      <c r="DK6" t="s">
        <v>159</v>
      </c>
      <c r="DL6" t="s">
        <v>160</v>
      </c>
      <c r="DM6" t="s">
        <v>161</v>
      </c>
      <c r="DN6" t="s">
        <v>169</v>
      </c>
    </row>
    <row r="7" spans="1:118" x14ac:dyDescent="0.35">
      <c r="A7" t="s">
        <v>191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f>AVERAGE(rarefaction_analysis_ad_chao1[[#This Row],[depth-1_iter-1]:[depth-1_iter-10]])</f>
        <v>1</v>
      </c>
      <c r="M7">
        <v>44.142857142857146</v>
      </c>
      <c r="N7">
        <v>49.333333333333336</v>
      </c>
      <c r="O7">
        <v>46.625</v>
      </c>
      <c r="P7">
        <v>49.2</v>
      </c>
      <c r="Q7">
        <v>44</v>
      </c>
      <c r="R7">
        <v>43.5</v>
      </c>
      <c r="S7">
        <v>43.875</v>
      </c>
      <c r="T7">
        <v>45.625</v>
      </c>
      <c r="U7">
        <v>37.428571428571431</v>
      </c>
      <c r="V7">
        <v>38.200000000000003</v>
      </c>
      <c r="W7">
        <f>AVERAGE(rarefaction_analysis_ad_chao1[[#This Row],[depth-537_iter-1]:[depth-537_iter-10]])</f>
        <v>44.192976190476188</v>
      </c>
      <c r="X7">
        <v>46.666666666666657</v>
      </c>
      <c r="Y7">
        <v>47.75</v>
      </c>
      <c r="Z7">
        <v>44.2</v>
      </c>
      <c r="AA7">
        <v>45.857142857142847</v>
      </c>
      <c r="AB7">
        <v>50</v>
      </c>
      <c r="AC7">
        <v>48.142857142857146</v>
      </c>
      <c r="AD7">
        <v>47.857142857142847</v>
      </c>
      <c r="AE7">
        <v>48</v>
      </c>
      <c r="AF7">
        <v>47.2</v>
      </c>
      <c r="AG7">
        <v>46</v>
      </c>
      <c r="AH7">
        <f>AVERAGE(rarefaction_analysis_ad_chao1[[#This Row],[depth-1073_iter-1]:[depth-1073_iter-10]])</f>
        <v>47.167380952380952</v>
      </c>
      <c r="AI7">
        <v>48.166666666666657</v>
      </c>
      <c r="AJ7">
        <v>48.5</v>
      </c>
      <c r="AK7">
        <v>48.125</v>
      </c>
      <c r="AL7">
        <v>48.428571428571431</v>
      </c>
      <c r="AM7">
        <v>47</v>
      </c>
      <c r="AN7">
        <v>47.428571428571431</v>
      </c>
      <c r="AO7">
        <v>48.428571428571431</v>
      </c>
      <c r="AP7">
        <v>48.5</v>
      </c>
      <c r="AQ7">
        <v>48.5</v>
      </c>
      <c r="AR7">
        <v>49.2</v>
      </c>
      <c r="AS7">
        <f>AVERAGE(rarefaction_analysis_ad_chao1[[#This Row],[depth-1609_iter-1]:[depth-1609_iter-10]])</f>
        <v>48.227738095238095</v>
      </c>
      <c r="AT7">
        <v>46</v>
      </c>
      <c r="AU7">
        <v>48.333333333333336</v>
      </c>
      <c r="AV7">
        <v>46.25</v>
      </c>
      <c r="AW7">
        <v>49</v>
      </c>
      <c r="AX7">
        <v>47</v>
      </c>
      <c r="AY7">
        <v>50</v>
      </c>
      <c r="AZ7">
        <v>48</v>
      </c>
      <c r="BA7">
        <v>47</v>
      </c>
      <c r="BB7">
        <v>47</v>
      </c>
      <c r="BC7">
        <v>48</v>
      </c>
      <c r="BD7">
        <f>AVERAGE(rarefaction_analysis_ad_chao1[[#This Row],[depth-2145_iter-1]:[depth-2145_iter-10]])</f>
        <v>47.658333333333339</v>
      </c>
      <c r="BE7">
        <v>48</v>
      </c>
      <c r="BF7">
        <v>48</v>
      </c>
      <c r="BG7">
        <v>48</v>
      </c>
      <c r="BH7">
        <v>48</v>
      </c>
      <c r="BI7">
        <v>48</v>
      </c>
      <c r="BJ7">
        <v>47</v>
      </c>
      <c r="BK7">
        <v>48</v>
      </c>
      <c r="BL7">
        <v>48</v>
      </c>
      <c r="BM7">
        <v>48</v>
      </c>
      <c r="BN7">
        <v>48</v>
      </c>
      <c r="BO7">
        <f>AVERAGE(rarefaction_analysis_ad_chao1[[#This Row],[depth-2682_iter-1]:[depth-2682_iter-10]])</f>
        <v>47.9</v>
      </c>
      <c r="BP7">
        <v>47</v>
      </c>
      <c r="BQ7">
        <v>48</v>
      </c>
      <c r="BR7">
        <v>48</v>
      </c>
      <c r="BS7">
        <v>47</v>
      </c>
      <c r="BT7">
        <v>48</v>
      </c>
      <c r="BU7">
        <v>48</v>
      </c>
      <c r="BV7">
        <v>48.5</v>
      </c>
      <c r="BW7">
        <v>48</v>
      </c>
      <c r="BX7">
        <v>48</v>
      </c>
      <c r="BY7">
        <v>48</v>
      </c>
      <c r="BZ7">
        <f>AVERAGE(rarefaction_analysis_ad_chao1[[#This Row],[depth-3218_iter-1]:[depth-3218_iter-10]])</f>
        <v>47.85</v>
      </c>
      <c r="CA7">
        <v>48</v>
      </c>
      <c r="CB7">
        <v>48</v>
      </c>
      <c r="CC7">
        <v>48</v>
      </c>
      <c r="CD7">
        <v>48</v>
      </c>
      <c r="CE7">
        <v>48</v>
      </c>
      <c r="CF7">
        <v>48</v>
      </c>
      <c r="CG7">
        <v>48</v>
      </c>
      <c r="CH7">
        <v>48</v>
      </c>
      <c r="CI7">
        <v>48</v>
      </c>
      <c r="CJ7">
        <v>48</v>
      </c>
      <c r="CK7">
        <f>AVERAGE(rarefaction_analysis_ad_chao1[[#This Row],[depth-3754_iter-1]:[depth-3754_iter-10]])</f>
        <v>48</v>
      </c>
      <c r="CL7">
        <v>48</v>
      </c>
      <c r="CM7">
        <v>48</v>
      </c>
      <c r="CN7">
        <v>48</v>
      </c>
      <c r="CO7">
        <v>48</v>
      </c>
      <c r="CP7">
        <v>48</v>
      </c>
      <c r="CQ7">
        <v>48</v>
      </c>
      <c r="CR7">
        <v>48</v>
      </c>
      <c r="CS7">
        <v>48</v>
      </c>
      <c r="CT7">
        <v>48</v>
      </c>
      <c r="CU7">
        <v>48</v>
      </c>
      <c r="CV7">
        <f>AVERAGE(rarefaction_analysis_ad_chao1[[#This Row],[depth-4290_iter-1]:[depth-4290_iter-10]])</f>
        <v>48</v>
      </c>
      <c r="DH7" t="s">
        <v>192</v>
      </c>
      <c r="DI7">
        <v>537</v>
      </c>
      <c r="DJ7" t="s">
        <v>110</v>
      </c>
      <c r="DK7" t="s">
        <v>159</v>
      </c>
      <c r="DL7" t="s">
        <v>160</v>
      </c>
      <c r="DM7" t="s">
        <v>161</v>
      </c>
      <c r="DN7" t="s">
        <v>169</v>
      </c>
    </row>
    <row r="8" spans="1:118" x14ac:dyDescent="0.35">
      <c r="A8" t="s">
        <v>193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f>AVERAGE(rarefaction_analysis_ad_chao1[[#This Row],[depth-1_iter-1]:[depth-1_iter-10]])</f>
        <v>1</v>
      </c>
      <c r="M8">
        <v>33.5</v>
      </c>
      <c r="N8">
        <v>34</v>
      </c>
      <c r="O8">
        <v>29.5</v>
      </c>
      <c r="P8">
        <v>30</v>
      </c>
      <c r="Q8">
        <v>32.166666666666664</v>
      </c>
      <c r="R8">
        <v>40.333333333333336</v>
      </c>
      <c r="S8">
        <v>29.2</v>
      </c>
      <c r="T8">
        <v>33.200000000000003</v>
      </c>
      <c r="U8">
        <v>32.5</v>
      </c>
      <c r="V8">
        <v>30</v>
      </c>
      <c r="W8">
        <f>AVERAGE(rarefaction_analysis_ad_chao1[[#This Row],[depth-537_iter-1]:[depth-537_iter-10]])</f>
        <v>32.44</v>
      </c>
      <c r="X8">
        <v>34</v>
      </c>
      <c r="Y8">
        <v>33</v>
      </c>
      <c r="Z8">
        <v>33</v>
      </c>
      <c r="AA8">
        <v>37.333333333333336</v>
      </c>
      <c r="AB8">
        <v>32.75</v>
      </c>
      <c r="AC8">
        <v>33</v>
      </c>
      <c r="AD8">
        <v>32.333333333333336</v>
      </c>
      <c r="AE8">
        <v>32</v>
      </c>
      <c r="AF8">
        <v>33.6</v>
      </c>
      <c r="AG8">
        <v>36</v>
      </c>
      <c r="AH8">
        <f>AVERAGE(rarefaction_analysis_ad_chao1[[#This Row],[depth-1073_iter-1]:[depth-1073_iter-10]])</f>
        <v>33.701666666666668</v>
      </c>
      <c r="AI8">
        <v>33</v>
      </c>
      <c r="AJ8">
        <v>33</v>
      </c>
      <c r="AK8">
        <v>32</v>
      </c>
      <c r="AL8">
        <v>32</v>
      </c>
      <c r="AM8">
        <v>34</v>
      </c>
      <c r="AN8">
        <v>33.5</v>
      </c>
      <c r="AO8">
        <v>34.25</v>
      </c>
      <c r="AP8">
        <v>34</v>
      </c>
      <c r="AQ8">
        <v>34.333333333333336</v>
      </c>
      <c r="AR8">
        <v>34</v>
      </c>
      <c r="AS8">
        <f>AVERAGE(rarefaction_analysis_ad_chao1[[#This Row],[depth-1609_iter-1]:[depth-1609_iter-10]])</f>
        <v>33.408333333333331</v>
      </c>
      <c r="AT8">
        <v>33</v>
      </c>
      <c r="AU8">
        <v>34</v>
      </c>
      <c r="AV8">
        <v>34</v>
      </c>
      <c r="AW8">
        <v>34</v>
      </c>
      <c r="AX8">
        <v>34.5</v>
      </c>
      <c r="AY8">
        <v>34</v>
      </c>
      <c r="AZ8">
        <v>34</v>
      </c>
      <c r="BA8">
        <v>33</v>
      </c>
      <c r="BB8">
        <v>34</v>
      </c>
      <c r="BC8">
        <v>35</v>
      </c>
      <c r="BD8">
        <f>AVERAGE(rarefaction_analysis_ad_chao1[[#This Row],[depth-2145_iter-1]:[depth-2145_iter-10]])</f>
        <v>33.950000000000003</v>
      </c>
      <c r="BE8">
        <v>34</v>
      </c>
      <c r="BF8">
        <v>34</v>
      </c>
      <c r="BG8">
        <v>34</v>
      </c>
      <c r="BH8">
        <v>34</v>
      </c>
      <c r="BI8">
        <v>34</v>
      </c>
      <c r="BJ8">
        <v>34</v>
      </c>
      <c r="BK8">
        <v>34</v>
      </c>
      <c r="BL8">
        <v>34</v>
      </c>
      <c r="BM8">
        <v>34</v>
      </c>
      <c r="BN8">
        <v>34</v>
      </c>
      <c r="BO8">
        <f>AVERAGE(rarefaction_analysis_ad_chao1[[#This Row],[depth-2682_iter-1]:[depth-2682_iter-10]])</f>
        <v>34</v>
      </c>
      <c r="BP8">
        <v>34</v>
      </c>
      <c r="BQ8">
        <v>34</v>
      </c>
      <c r="BR8">
        <v>34</v>
      </c>
      <c r="BS8">
        <v>34</v>
      </c>
      <c r="BT8">
        <v>34</v>
      </c>
      <c r="BU8">
        <v>34</v>
      </c>
      <c r="BV8">
        <v>34</v>
      </c>
      <c r="BW8">
        <v>34</v>
      </c>
      <c r="BX8">
        <v>34</v>
      </c>
      <c r="BY8">
        <v>34</v>
      </c>
      <c r="BZ8">
        <f>AVERAGE(rarefaction_analysis_ad_chao1[[#This Row],[depth-3218_iter-1]:[depth-3218_iter-10]])</f>
        <v>34</v>
      </c>
      <c r="CA8">
        <v>34</v>
      </c>
      <c r="CB8">
        <v>34</v>
      </c>
      <c r="CC8">
        <v>34</v>
      </c>
      <c r="CD8">
        <v>34</v>
      </c>
      <c r="CE8">
        <v>34</v>
      </c>
      <c r="CF8">
        <v>34</v>
      </c>
      <c r="CG8">
        <v>34</v>
      </c>
      <c r="CH8">
        <v>34</v>
      </c>
      <c r="CI8">
        <v>34</v>
      </c>
      <c r="CJ8">
        <v>34</v>
      </c>
      <c r="CK8">
        <f>AVERAGE(rarefaction_analysis_ad_chao1[[#This Row],[depth-3754_iter-1]:[depth-3754_iter-10]])</f>
        <v>34</v>
      </c>
      <c r="CL8">
        <v>34</v>
      </c>
      <c r="CM8">
        <v>34</v>
      </c>
      <c r="CN8">
        <v>34</v>
      </c>
      <c r="CO8">
        <v>34</v>
      </c>
      <c r="CP8">
        <v>34</v>
      </c>
      <c r="CQ8">
        <v>34</v>
      </c>
      <c r="CR8">
        <v>34</v>
      </c>
      <c r="CS8">
        <v>34</v>
      </c>
      <c r="CT8">
        <v>34</v>
      </c>
      <c r="CU8">
        <v>34</v>
      </c>
      <c r="CV8">
        <f>AVERAGE(rarefaction_analysis_ad_chao1[[#This Row],[depth-4290_iter-1]:[depth-4290_iter-10]])</f>
        <v>34</v>
      </c>
      <c r="DH8" t="s">
        <v>194</v>
      </c>
      <c r="DI8">
        <v>538</v>
      </c>
      <c r="DJ8" t="s">
        <v>110</v>
      </c>
      <c r="DK8" t="s">
        <v>176</v>
      </c>
      <c r="DL8" t="s">
        <v>160</v>
      </c>
      <c r="DM8" t="s">
        <v>161</v>
      </c>
      <c r="DN8" t="s">
        <v>169</v>
      </c>
    </row>
    <row r="9" spans="1:118" x14ac:dyDescent="0.35">
      <c r="A9" t="s">
        <v>197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f>AVERAGE(rarefaction_analysis_ad_chao1[[#This Row],[depth-1_iter-1]:[depth-1_iter-10]])</f>
        <v>1</v>
      </c>
      <c r="M9">
        <v>45</v>
      </c>
      <c r="N9">
        <v>41.142857142857146</v>
      </c>
      <c r="O9">
        <v>40.111111111111121</v>
      </c>
      <c r="P9">
        <v>45.5</v>
      </c>
      <c r="Q9">
        <v>41.8</v>
      </c>
      <c r="R9">
        <v>40.428571428571431</v>
      </c>
      <c r="S9">
        <v>53</v>
      </c>
      <c r="T9">
        <v>39.5</v>
      </c>
      <c r="U9">
        <v>39.666666666666657</v>
      </c>
      <c r="V9">
        <v>44.6</v>
      </c>
      <c r="W9">
        <f>AVERAGE(rarefaction_analysis_ad_chao1[[#This Row],[depth-537_iter-1]:[depth-537_iter-10]])</f>
        <v>43.074920634920637</v>
      </c>
      <c r="X9">
        <v>40</v>
      </c>
      <c r="Y9">
        <v>43.166666666666657</v>
      </c>
      <c r="Z9">
        <v>47.333333333333336</v>
      </c>
      <c r="AA9">
        <v>45.2</v>
      </c>
      <c r="AB9">
        <v>54.333333333333336</v>
      </c>
      <c r="AC9">
        <v>46</v>
      </c>
      <c r="AD9">
        <v>40</v>
      </c>
      <c r="AE9">
        <v>48</v>
      </c>
      <c r="AF9">
        <v>46</v>
      </c>
      <c r="AG9">
        <v>46</v>
      </c>
      <c r="AH9">
        <f>AVERAGE(rarefaction_analysis_ad_chao1[[#This Row],[depth-1073_iter-1]:[depth-1073_iter-10]])</f>
        <v>45.603333333333332</v>
      </c>
      <c r="AI9">
        <v>46.6</v>
      </c>
      <c r="AJ9">
        <v>44</v>
      </c>
      <c r="AK9">
        <v>45.333333333333336</v>
      </c>
      <c r="AL9">
        <v>52</v>
      </c>
      <c r="AM9">
        <v>44.333333333333336</v>
      </c>
      <c r="AN9">
        <v>47.428571428571431</v>
      </c>
      <c r="AO9">
        <v>45.2</v>
      </c>
      <c r="AP9">
        <v>47.5</v>
      </c>
      <c r="AQ9">
        <v>45</v>
      </c>
      <c r="AR9">
        <v>43.5</v>
      </c>
      <c r="AS9">
        <f>AVERAGE(rarefaction_analysis_ad_chao1[[#This Row],[depth-1609_iter-1]:[depth-1609_iter-10]])</f>
        <v>46.089523809523811</v>
      </c>
      <c r="AT9">
        <v>46</v>
      </c>
      <c r="AU9">
        <v>45</v>
      </c>
      <c r="AV9">
        <v>45.333333333333336</v>
      </c>
      <c r="AW9">
        <v>46</v>
      </c>
      <c r="AX9">
        <v>50</v>
      </c>
      <c r="AY9">
        <v>44</v>
      </c>
      <c r="AZ9">
        <v>54.5</v>
      </c>
      <c r="BA9">
        <v>47</v>
      </c>
      <c r="BB9">
        <v>45</v>
      </c>
      <c r="BC9">
        <v>46.5</v>
      </c>
      <c r="BD9">
        <f>AVERAGE(rarefaction_analysis_ad_chao1[[#This Row],[depth-2145_iter-1]:[depth-2145_iter-10]])</f>
        <v>46.933333333333337</v>
      </c>
      <c r="BE9">
        <v>47.25</v>
      </c>
      <c r="BF9">
        <v>46.25</v>
      </c>
      <c r="BG9">
        <v>47.5</v>
      </c>
      <c r="BH9">
        <v>46</v>
      </c>
      <c r="BI9">
        <v>46</v>
      </c>
      <c r="BJ9">
        <v>47</v>
      </c>
      <c r="BK9">
        <v>49</v>
      </c>
      <c r="BL9">
        <v>47.25</v>
      </c>
      <c r="BM9">
        <v>47</v>
      </c>
      <c r="BN9">
        <v>47</v>
      </c>
      <c r="BO9">
        <f>AVERAGE(rarefaction_analysis_ad_chao1[[#This Row],[depth-2682_iter-1]:[depth-2682_iter-10]])</f>
        <v>47.024999999999999</v>
      </c>
      <c r="BP9">
        <v>47.5</v>
      </c>
      <c r="BQ9">
        <v>48</v>
      </c>
      <c r="BR9">
        <v>47</v>
      </c>
      <c r="BS9">
        <v>47.333333333333336</v>
      </c>
      <c r="BT9">
        <v>46</v>
      </c>
      <c r="BU9">
        <v>46</v>
      </c>
      <c r="BV9">
        <v>46</v>
      </c>
      <c r="BW9">
        <v>47.5</v>
      </c>
      <c r="BX9">
        <v>44</v>
      </c>
      <c r="BY9">
        <v>47</v>
      </c>
      <c r="BZ9">
        <f>AVERAGE(rarefaction_analysis_ad_chao1[[#This Row],[depth-3218_iter-1]:[depth-3218_iter-10]])</f>
        <v>46.63333333333334</v>
      </c>
      <c r="CA9">
        <v>47</v>
      </c>
      <c r="CB9">
        <v>47</v>
      </c>
      <c r="CC9">
        <v>46</v>
      </c>
      <c r="CD9">
        <v>46</v>
      </c>
      <c r="CE9">
        <v>47</v>
      </c>
      <c r="CF9">
        <v>46</v>
      </c>
      <c r="CG9">
        <v>47</v>
      </c>
      <c r="CH9">
        <v>47</v>
      </c>
      <c r="CI9">
        <v>47</v>
      </c>
      <c r="CJ9">
        <v>47</v>
      </c>
      <c r="CK9">
        <f>AVERAGE(rarefaction_analysis_ad_chao1[[#This Row],[depth-3754_iter-1]:[depth-3754_iter-10]])</f>
        <v>46.7</v>
      </c>
      <c r="CL9">
        <v>47</v>
      </c>
      <c r="CM9">
        <v>47</v>
      </c>
      <c r="CN9">
        <v>47</v>
      </c>
      <c r="CO9">
        <v>47</v>
      </c>
      <c r="CP9">
        <v>47</v>
      </c>
      <c r="CQ9">
        <v>47</v>
      </c>
      <c r="CR9">
        <v>47</v>
      </c>
      <c r="CS9">
        <v>47</v>
      </c>
      <c r="CT9">
        <v>47</v>
      </c>
      <c r="CU9">
        <v>47</v>
      </c>
      <c r="CV9">
        <f>AVERAGE(rarefaction_analysis_ad_chao1[[#This Row],[depth-4290_iter-1]:[depth-4290_iter-10]])</f>
        <v>47</v>
      </c>
      <c r="CW9">
        <v>47</v>
      </c>
      <c r="CX9">
        <v>47</v>
      </c>
      <c r="CY9">
        <v>47</v>
      </c>
      <c r="CZ9">
        <v>47</v>
      </c>
      <c r="DA9">
        <v>47</v>
      </c>
      <c r="DB9">
        <v>47</v>
      </c>
      <c r="DC9">
        <v>47</v>
      </c>
      <c r="DD9">
        <v>47</v>
      </c>
      <c r="DE9">
        <v>47</v>
      </c>
      <c r="DF9">
        <v>47</v>
      </c>
      <c r="DG9">
        <f>AVERAGE(rarefaction_analysis_ad_chao1[[#This Row],[depth-4827_iter-1]:[depth-4827_iter-10]])</f>
        <v>47</v>
      </c>
      <c r="DH9" t="s">
        <v>198</v>
      </c>
      <c r="DI9">
        <v>538</v>
      </c>
      <c r="DJ9" t="s">
        <v>110</v>
      </c>
      <c r="DK9" t="s">
        <v>176</v>
      </c>
      <c r="DL9" t="s">
        <v>160</v>
      </c>
      <c r="DM9" t="s">
        <v>161</v>
      </c>
      <c r="DN9" t="s">
        <v>169</v>
      </c>
    </row>
    <row r="10" spans="1:118" x14ac:dyDescent="0.35">
      <c r="A10" t="s">
        <v>206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f>AVERAGE(rarefaction_analysis_ad_chao1[[#This Row],[depth-1_iter-1]:[depth-1_iter-10]])</f>
        <v>1</v>
      </c>
      <c r="M10">
        <v>39.875</v>
      </c>
      <c r="N10">
        <v>42.111111111111121</v>
      </c>
      <c r="O10">
        <v>40.5</v>
      </c>
      <c r="P10">
        <v>42.625</v>
      </c>
      <c r="Q10">
        <v>47.428571428571431</v>
      </c>
      <c r="R10">
        <v>46.5</v>
      </c>
      <c r="S10">
        <v>45.6</v>
      </c>
      <c r="T10">
        <v>46.111111111111121</v>
      </c>
      <c r="U10">
        <v>40.75</v>
      </c>
      <c r="V10">
        <v>49.875</v>
      </c>
      <c r="W10">
        <f>AVERAGE(rarefaction_analysis_ad_chao1[[#This Row],[depth-537_iter-1]:[depth-537_iter-10]])</f>
        <v>44.137579365079368</v>
      </c>
      <c r="X10">
        <v>48.666666666666657</v>
      </c>
      <c r="Y10">
        <v>49</v>
      </c>
      <c r="Z10">
        <v>47.25</v>
      </c>
      <c r="AA10">
        <v>51.142857142857146</v>
      </c>
      <c r="AB10">
        <v>48.857142857142847</v>
      </c>
      <c r="AC10">
        <v>46.1</v>
      </c>
      <c r="AD10">
        <v>50</v>
      </c>
      <c r="AE10">
        <v>50.666666666666657</v>
      </c>
      <c r="AF10">
        <v>50</v>
      </c>
      <c r="AG10">
        <v>49.666666666666657</v>
      </c>
      <c r="AH10">
        <f>AVERAGE(rarefaction_analysis_ad_chao1[[#This Row],[depth-1073_iter-1]:[depth-1073_iter-10]])</f>
        <v>49.134999999999991</v>
      </c>
      <c r="AI10">
        <v>49.857142857142847</v>
      </c>
      <c r="AJ10">
        <v>51</v>
      </c>
      <c r="AK10">
        <v>48</v>
      </c>
      <c r="AL10">
        <v>49.75</v>
      </c>
      <c r="AM10">
        <v>48</v>
      </c>
      <c r="AN10">
        <v>49</v>
      </c>
      <c r="AO10">
        <v>49.5</v>
      </c>
      <c r="AP10">
        <v>49.75</v>
      </c>
      <c r="AQ10">
        <v>49.857142857142847</v>
      </c>
      <c r="AR10">
        <v>49.2</v>
      </c>
      <c r="AS10">
        <f>AVERAGE(rarefaction_analysis_ad_chao1[[#This Row],[depth-1609_iter-1]:[depth-1609_iter-10]])</f>
        <v>49.391428571428563</v>
      </c>
      <c r="AT10">
        <v>49.333333333333336</v>
      </c>
      <c r="AU10">
        <v>49</v>
      </c>
      <c r="AV10">
        <v>49</v>
      </c>
      <c r="AW10">
        <v>48</v>
      </c>
      <c r="AX10">
        <v>49</v>
      </c>
      <c r="AY10">
        <v>49</v>
      </c>
      <c r="AZ10">
        <v>49</v>
      </c>
      <c r="BA10">
        <v>49</v>
      </c>
      <c r="BB10">
        <v>49</v>
      </c>
      <c r="BC10">
        <v>48</v>
      </c>
      <c r="BD10">
        <f>AVERAGE(rarefaction_analysis_ad_chao1[[#This Row],[depth-2145_iter-1]:[depth-2145_iter-10]])</f>
        <v>48.833333333333336</v>
      </c>
      <c r="BE10">
        <v>49</v>
      </c>
      <c r="BF10">
        <v>49</v>
      </c>
      <c r="BG10">
        <v>49</v>
      </c>
      <c r="BH10">
        <v>49</v>
      </c>
      <c r="BI10">
        <v>49</v>
      </c>
      <c r="BJ10">
        <v>49</v>
      </c>
      <c r="BK10">
        <v>49</v>
      </c>
      <c r="BL10">
        <v>49</v>
      </c>
      <c r="BM10">
        <v>49</v>
      </c>
      <c r="BN10">
        <v>49</v>
      </c>
      <c r="BO10">
        <f>AVERAGE(rarefaction_analysis_ad_chao1[[#This Row],[depth-2682_iter-1]:[depth-2682_iter-10]])</f>
        <v>49</v>
      </c>
      <c r="BP10">
        <v>49</v>
      </c>
      <c r="BQ10">
        <v>49</v>
      </c>
      <c r="BR10">
        <v>49</v>
      </c>
      <c r="BS10">
        <v>49</v>
      </c>
      <c r="BT10">
        <v>49</v>
      </c>
      <c r="BU10">
        <v>49</v>
      </c>
      <c r="BV10">
        <v>49</v>
      </c>
      <c r="BW10">
        <v>49</v>
      </c>
      <c r="BX10">
        <v>49</v>
      </c>
      <c r="BY10">
        <v>49</v>
      </c>
      <c r="BZ10">
        <f>AVERAGE(rarefaction_analysis_ad_chao1[[#This Row],[depth-3218_iter-1]:[depth-3218_iter-10]])</f>
        <v>49</v>
      </c>
      <c r="CA10">
        <v>49</v>
      </c>
      <c r="CB10">
        <v>49</v>
      </c>
      <c r="CC10">
        <v>49</v>
      </c>
      <c r="CD10">
        <v>49</v>
      </c>
      <c r="CE10">
        <v>49</v>
      </c>
      <c r="CF10">
        <v>49</v>
      </c>
      <c r="CG10">
        <v>49</v>
      </c>
      <c r="CH10">
        <v>49</v>
      </c>
      <c r="CI10">
        <v>49</v>
      </c>
      <c r="CJ10">
        <v>49</v>
      </c>
      <c r="CK10">
        <f>AVERAGE(rarefaction_analysis_ad_chao1[[#This Row],[depth-3754_iter-1]:[depth-3754_iter-10]])</f>
        <v>49</v>
      </c>
      <c r="CL10">
        <v>49</v>
      </c>
      <c r="CM10">
        <v>49</v>
      </c>
      <c r="CN10">
        <v>49</v>
      </c>
      <c r="CO10">
        <v>49</v>
      </c>
      <c r="CP10">
        <v>49</v>
      </c>
      <c r="CQ10">
        <v>49</v>
      </c>
      <c r="CR10">
        <v>49</v>
      </c>
      <c r="CS10">
        <v>49</v>
      </c>
      <c r="CT10">
        <v>49</v>
      </c>
      <c r="CU10">
        <v>49</v>
      </c>
      <c r="CV10">
        <f>AVERAGE(rarefaction_analysis_ad_chao1[[#This Row],[depth-4290_iter-1]:[depth-4290_iter-10]])</f>
        <v>49</v>
      </c>
      <c r="DG10" t="e">
        <f>AVERAGE(rarefaction_analysis_ad_chao1[[#This Row],[depth-4827_iter-1]:[depth-4827_iter-10]])</f>
        <v>#DIV/0!</v>
      </c>
      <c r="DH10" t="s">
        <v>207</v>
      </c>
      <c r="DI10">
        <v>547</v>
      </c>
      <c r="DJ10" t="s">
        <v>110</v>
      </c>
      <c r="DK10" t="s">
        <v>205</v>
      </c>
      <c r="DL10" t="s">
        <v>160</v>
      </c>
      <c r="DM10" t="s">
        <v>161</v>
      </c>
      <c r="DN10" t="s">
        <v>169</v>
      </c>
    </row>
    <row r="11" spans="1:118" x14ac:dyDescent="0.35">
      <c r="A11" t="s">
        <v>210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f>AVERAGE(rarefaction_analysis_ad_chao1[[#This Row],[depth-1_iter-1]:[depth-1_iter-10]])</f>
        <v>1</v>
      </c>
      <c r="M11">
        <v>36.666666666666657</v>
      </c>
      <c r="N11">
        <v>42.5</v>
      </c>
      <c r="O11">
        <v>39.5</v>
      </c>
      <c r="P11">
        <v>38.5</v>
      </c>
      <c r="Q11">
        <v>39.200000000000003</v>
      </c>
      <c r="R11">
        <v>43.333333333333336</v>
      </c>
      <c r="S11">
        <v>38.142857142857146</v>
      </c>
      <c r="T11">
        <v>41.2</v>
      </c>
      <c r="U11">
        <v>38.666666666666657</v>
      </c>
      <c r="V11">
        <v>45</v>
      </c>
      <c r="W11">
        <f>AVERAGE(rarefaction_analysis_ad_chao1[[#This Row],[depth-537_iter-1]:[depth-537_iter-10]])</f>
        <v>40.27095238095238</v>
      </c>
      <c r="X11">
        <v>46.2</v>
      </c>
      <c r="Y11">
        <v>38.857142857142847</v>
      </c>
      <c r="Z11">
        <v>40.090909090909093</v>
      </c>
      <c r="AA11">
        <v>43</v>
      </c>
      <c r="AB11">
        <v>45</v>
      </c>
      <c r="AC11">
        <v>41.5</v>
      </c>
      <c r="AD11">
        <v>41</v>
      </c>
      <c r="AE11">
        <v>46.6</v>
      </c>
      <c r="AF11">
        <v>42.5</v>
      </c>
      <c r="AG11">
        <v>42.75</v>
      </c>
      <c r="AH11">
        <f>AVERAGE(rarefaction_analysis_ad_chao1[[#This Row],[depth-1073_iter-1]:[depth-1073_iter-10]])</f>
        <v>42.749805194805198</v>
      </c>
      <c r="AI11">
        <v>40.166666666666657</v>
      </c>
      <c r="AJ11">
        <v>41.2</v>
      </c>
      <c r="AK11">
        <v>40.5</v>
      </c>
      <c r="AL11">
        <v>40.333333333333336</v>
      </c>
      <c r="AM11">
        <v>40.6</v>
      </c>
      <c r="AN11">
        <v>41.25</v>
      </c>
      <c r="AO11">
        <v>41.75</v>
      </c>
      <c r="AP11">
        <v>40.25</v>
      </c>
      <c r="AQ11">
        <v>40</v>
      </c>
      <c r="AR11">
        <v>41.333333333333336</v>
      </c>
      <c r="AS11">
        <f>AVERAGE(rarefaction_analysis_ad_chao1[[#This Row],[depth-1609_iter-1]:[depth-1609_iter-10]])</f>
        <v>40.73833333333333</v>
      </c>
      <c r="AT11">
        <v>40</v>
      </c>
      <c r="AU11">
        <v>41</v>
      </c>
      <c r="AV11">
        <v>41</v>
      </c>
      <c r="AW11">
        <v>41</v>
      </c>
      <c r="AX11">
        <v>41</v>
      </c>
      <c r="AY11">
        <v>41</v>
      </c>
      <c r="AZ11">
        <v>41</v>
      </c>
      <c r="BA11">
        <v>41</v>
      </c>
      <c r="BB11">
        <v>41</v>
      </c>
      <c r="BC11">
        <v>42</v>
      </c>
      <c r="BD11">
        <f>AVERAGE(rarefaction_analysis_ad_chao1[[#This Row],[depth-2145_iter-1]:[depth-2145_iter-10]])</f>
        <v>41</v>
      </c>
      <c r="BE11">
        <v>41</v>
      </c>
      <c r="BF11">
        <v>41</v>
      </c>
      <c r="BG11">
        <v>41</v>
      </c>
      <c r="BH11">
        <v>41</v>
      </c>
      <c r="BI11">
        <v>41</v>
      </c>
      <c r="BJ11">
        <v>41</v>
      </c>
      <c r="BK11">
        <v>41</v>
      </c>
      <c r="BL11">
        <v>41</v>
      </c>
      <c r="BM11">
        <v>41</v>
      </c>
      <c r="BN11">
        <v>41</v>
      </c>
      <c r="BO11">
        <f>AVERAGE(rarefaction_analysis_ad_chao1[[#This Row],[depth-2682_iter-1]:[depth-2682_iter-10]])</f>
        <v>41</v>
      </c>
      <c r="BP11">
        <v>41</v>
      </c>
      <c r="BQ11">
        <v>41</v>
      </c>
      <c r="BR11">
        <v>41</v>
      </c>
      <c r="BS11">
        <v>41</v>
      </c>
      <c r="BT11">
        <v>41</v>
      </c>
      <c r="BU11">
        <v>41</v>
      </c>
      <c r="BV11">
        <v>41</v>
      </c>
      <c r="BW11">
        <v>41</v>
      </c>
      <c r="BX11">
        <v>41</v>
      </c>
      <c r="BY11">
        <v>41</v>
      </c>
      <c r="BZ11">
        <f>AVERAGE(rarefaction_analysis_ad_chao1[[#This Row],[depth-3218_iter-1]:[depth-3218_iter-10]])</f>
        <v>41</v>
      </c>
      <c r="CA11">
        <v>41</v>
      </c>
      <c r="CB11">
        <v>41</v>
      </c>
      <c r="CC11">
        <v>41</v>
      </c>
      <c r="CD11">
        <v>41</v>
      </c>
      <c r="CE11">
        <v>41</v>
      </c>
      <c r="CF11">
        <v>41</v>
      </c>
      <c r="CG11">
        <v>41</v>
      </c>
      <c r="CH11">
        <v>41</v>
      </c>
      <c r="CI11">
        <v>41</v>
      </c>
      <c r="CJ11">
        <v>41</v>
      </c>
      <c r="CK11">
        <f>AVERAGE(rarefaction_analysis_ad_chao1[[#This Row],[depth-3754_iter-1]:[depth-3754_iter-10]])</f>
        <v>41</v>
      </c>
      <c r="CV11" t="e">
        <f>AVERAGE(rarefaction_analysis_ad_chao1[[#This Row],[depth-4290_iter-1]:[depth-4290_iter-10]])</f>
        <v>#DIV/0!</v>
      </c>
      <c r="DG11" t="e">
        <f>AVERAGE(rarefaction_analysis_ad_chao1[[#This Row],[depth-4827_iter-1]:[depth-4827_iter-10]])</f>
        <v>#DIV/0!</v>
      </c>
      <c r="DH11" t="s">
        <v>211</v>
      </c>
      <c r="DI11">
        <v>547</v>
      </c>
      <c r="DJ11" t="s">
        <v>110</v>
      </c>
      <c r="DK11" t="s">
        <v>205</v>
      </c>
      <c r="DL11" t="s">
        <v>160</v>
      </c>
      <c r="DM11" t="s">
        <v>161</v>
      </c>
      <c r="DN11" t="s">
        <v>169</v>
      </c>
    </row>
    <row r="12" spans="1:118" x14ac:dyDescent="0.35">
      <c r="A12" t="s">
        <v>216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f>AVERAGE(rarefaction_analysis_ad_chao1[[#This Row],[depth-1_iter-1]:[depth-1_iter-10]])</f>
        <v>1</v>
      </c>
      <c r="M12">
        <v>36.142857142857146</v>
      </c>
      <c r="N12">
        <v>33.25</v>
      </c>
      <c r="O12">
        <v>44.5</v>
      </c>
      <c r="P12">
        <v>33.5</v>
      </c>
      <c r="Q12">
        <v>43.111111111111121</v>
      </c>
      <c r="R12">
        <v>40</v>
      </c>
      <c r="S12">
        <v>49.75</v>
      </c>
      <c r="T12">
        <v>40</v>
      </c>
      <c r="U12">
        <v>37.25</v>
      </c>
      <c r="V12">
        <v>43</v>
      </c>
      <c r="W12">
        <f>AVERAGE(rarefaction_analysis_ad_chao1[[#This Row],[depth-537_iter-1]:[depth-537_iter-10]])</f>
        <v>40.050396825396824</v>
      </c>
      <c r="X12">
        <v>45.142857142857146</v>
      </c>
      <c r="Y12">
        <v>42.142857142857146</v>
      </c>
      <c r="Z12">
        <v>39</v>
      </c>
      <c r="AA12">
        <v>43</v>
      </c>
      <c r="AB12">
        <v>45.2</v>
      </c>
      <c r="AC12">
        <v>42.75</v>
      </c>
      <c r="AD12">
        <v>42.5</v>
      </c>
      <c r="AE12">
        <v>39.75</v>
      </c>
      <c r="AF12">
        <v>42.111111111111121</v>
      </c>
      <c r="AG12">
        <v>43</v>
      </c>
      <c r="AH12">
        <f>AVERAGE(rarefaction_analysis_ad_chao1[[#This Row],[depth-1073_iter-1]:[depth-1073_iter-10]])</f>
        <v>42.459682539682539</v>
      </c>
      <c r="AI12">
        <v>42.75</v>
      </c>
      <c r="AJ12">
        <v>43.2</v>
      </c>
      <c r="AK12">
        <v>41.2</v>
      </c>
      <c r="AL12">
        <v>44</v>
      </c>
      <c r="AM12">
        <v>42.6</v>
      </c>
      <c r="AN12">
        <v>43.125</v>
      </c>
      <c r="AO12">
        <v>43.5</v>
      </c>
      <c r="AP12">
        <v>43</v>
      </c>
      <c r="AQ12">
        <v>43.375</v>
      </c>
      <c r="AR12">
        <v>44</v>
      </c>
      <c r="AS12">
        <f>AVERAGE(rarefaction_analysis_ad_chao1[[#This Row],[depth-1609_iter-1]:[depth-1609_iter-10]])</f>
        <v>43.075000000000003</v>
      </c>
      <c r="AT12">
        <v>43.75</v>
      </c>
      <c r="AU12">
        <v>43.142857142857146</v>
      </c>
      <c r="AV12">
        <v>43.2</v>
      </c>
      <c r="AW12">
        <v>46</v>
      </c>
      <c r="AX12">
        <v>43.2</v>
      </c>
      <c r="AY12">
        <v>43.5</v>
      </c>
      <c r="AZ12">
        <v>44.25</v>
      </c>
      <c r="BA12">
        <v>43.2</v>
      </c>
      <c r="BB12">
        <v>46.5</v>
      </c>
      <c r="BC12">
        <v>44</v>
      </c>
      <c r="BD12">
        <f>AVERAGE(rarefaction_analysis_ad_chao1[[#This Row],[depth-2145_iter-1]:[depth-2145_iter-10]])</f>
        <v>44.074285714285715</v>
      </c>
      <c r="BE12">
        <v>43</v>
      </c>
      <c r="BF12">
        <v>45</v>
      </c>
      <c r="BG12">
        <v>43.25</v>
      </c>
      <c r="BH12">
        <v>43.333333333333336</v>
      </c>
      <c r="BI12">
        <v>43</v>
      </c>
      <c r="BJ12">
        <v>44.2</v>
      </c>
      <c r="BK12">
        <v>44.6</v>
      </c>
      <c r="BL12">
        <v>44</v>
      </c>
      <c r="BM12">
        <v>43.333333333333336</v>
      </c>
      <c r="BN12">
        <v>44.166666666666657</v>
      </c>
      <c r="BO12">
        <f>AVERAGE(rarefaction_analysis_ad_chao1[[#This Row],[depth-2682_iter-1]:[depth-2682_iter-10]])</f>
        <v>43.788333333333334</v>
      </c>
      <c r="BP12">
        <v>44</v>
      </c>
      <c r="BQ12">
        <v>44</v>
      </c>
      <c r="BR12">
        <v>44.333333333333336</v>
      </c>
      <c r="BS12">
        <v>44.2</v>
      </c>
      <c r="BT12">
        <v>44</v>
      </c>
      <c r="BU12">
        <v>44</v>
      </c>
      <c r="BV12">
        <v>44</v>
      </c>
      <c r="BW12">
        <v>44</v>
      </c>
      <c r="BX12">
        <v>44</v>
      </c>
      <c r="BY12">
        <v>44.5</v>
      </c>
      <c r="BZ12">
        <f>AVERAGE(rarefaction_analysis_ad_chao1[[#This Row],[depth-3218_iter-1]:[depth-3218_iter-10]])</f>
        <v>44.103333333333339</v>
      </c>
      <c r="CA12">
        <v>44</v>
      </c>
      <c r="CB12">
        <v>44</v>
      </c>
      <c r="CC12">
        <v>44.5</v>
      </c>
      <c r="CD12">
        <v>44</v>
      </c>
      <c r="CE12">
        <v>44</v>
      </c>
      <c r="CF12">
        <v>44</v>
      </c>
      <c r="CG12">
        <v>44</v>
      </c>
      <c r="CH12">
        <v>44</v>
      </c>
      <c r="CI12">
        <v>44</v>
      </c>
      <c r="CJ12">
        <v>44.5</v>
      </c>
      <c r="CK12">
        <f>AVERAGE(rarefaction_analysis_ad_chao1[[#This Row],[depth-3754_iter-1]:[depth-3754_iter-10]])</f>
        <v>44.1</v>
      </c>
      <c r="CL12">
        <v>44</v>
      </c>
      <c r="CM12">
        <v>44</v>
      </c>
      <c r="CN12">
        <v>44</v>
      </c>
      <c r="CO12">
        <v>44</v>
      </c>
      <c r="CP12">
        <v>44</v>
      </c>
      <c r="CQ12">
        <v>44</v>
      </c>
      <c r="CR12">
        <v>44</v>
      </c>
      <c r="CS12">
        <v>42</v>
      </c>
      <c r="CT12">
        <v>44</v>
      </c>
      <c r="CU12">
        <v>44</v>
      </c>
      <c r="CV12">
        <f>AVERAGE(rarefaction_analysis_ad_chao1[[#This Row],[depth-4290_iter-1]:[depth-4290_iter-10]])</f>
        <v>43.8</v>
      </c>
      <c r="DG12" t="e">
        <f>AVERAGE(rarefaction_analysis_ad_chao1[[#This Row],[depth-4827_iter-1]:[depth-4827_iter-10]])</f>
        <v>#DIV/0!</v>
      </c>
      <c r="DH12" t="s">
        <v>217</v>
      </c>
      <c r="DI12">
        <v>547</v>
      </c>
      <c r="DJ12" t="s">
        <v>110</v>
      </c>
      <c r="DK12" t="s">
        <v>205</v>
      </c>
      <c r="DL12" t="s">
        <v>160</v>
      </c>
      <c r="DM12" t="s">
        <v>161</v>
      </c>
      <c r="DN12" t="s">
        <v>169</v>
      </c>
    </row>
    <row r="13" spans="1:118" x14ac:dyDescent="0.35">
      <c r="A13" t="s">
        <v>218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f>AVERAGE(rarefaction_analysis_ad_chao1[[#This Row],[depth-1_iter-1]:[depth-1_iter-10]])</f>
        <v>1</v>
      </c>
      <c r="M13">
        <v>49.857142857142847</v>
      </c>
      <c r="N13">
        <v>39.25</v>
      </c>
      <c r="O13">
        <v>39.5</v>
      </c>
      <c r="P13">
        <v>52.25</v>
      </c>
      <c r="Q13">
        <v>35.200000000000003</v>
      </c>
      <c r="R13">
        <v>43.2</v>
      </c>
      <c r="S13">
        <v>48.875</v>
      </c>
      <c r="T13">
        <v>43.25</v>
      </c>
      <c r="U13">
        <v>49</v>
      </c>
      <c r="V13">
        <v>45</v>
      </c>
      <c r="W13">
        <f>AVERAGE(rarefaction_analysis_ad_chao1[[#This Row],[depth-537_iter-1]:[depth-537_iter-10]])</f>
        <v>44.538214285714282</v>
      </c>
      <c r="X13">
        <v>45</v>
      </c>
      <c r="Y13">
        <v>49.25</v>
      </c>
      <c r="Z13">
        <v>45.111111111111121</v>
      </c>
      <c r="AA13">
        <v>47</v>
      </c>
      <c r="AB13">
        <v>44.5</v>
      </c>
      <c r="AC13">
        <v>48</v>
      </c>
      <c r="AD13">
        <v>46.428571428571431</v>
      </c>
      <c r="AE13">
        <v>44.428571428571431</v>
      </c>
      <c r="AF13">
        <v>44.857142857142847</v>
      </c>
      <c r="AG13">
        <v>48.5</v>
      </c>
      <c r="AH13">
        <f>AVERAGE(rarefaction_analysis_ad_chao1[[#This Row],[depth-1073_iter-1]:[depth-1073_iter-10]])</f>
        <v>46.307539682539684</v>
      </c>
      <c r="AI13">
        <v>46.125</v>
      </c>
      <c r="AJ13">
        <v>47.166666666666657</v>
      </c>
      <c r="AK13">
        <v>45</v>
      </c>
      <c r="AL13">
        <v>44.333333333333336</v>
      </c>
      <c r="AM13">
        <v>47.5</v>
      </c>
      <c r="AN13">
        <v>45.5</v>
      </c>
      <c r="AO13">
        <v>47.5</v>
      </c>
      <c r="AP13">
        <v>51</v>
      </c>
      <c r="AQ13">
        <v>45</v>
      </c>
      <c r="AR13">
        <v>44.25</v>
      </c>
      <c r="AS13">
        <f>AVERAGE(rarefaction_analysis_ad_chao1[[#This Row],[depth-1609_iter-1]:[depth-1609_iter-10]])</f>
        <v>46.337499999999999</v>
      </c>
      <c r="AT13">
        <v>46.333333333333336</v>
      </c>
      <c r="AU13">
        <v>47.25</v>
      </c>
      <c r="AV13">
        <v>49</v>
      </c>
      <c r="AW13">
        <v>47.5</v>
      </c>
      <c r="AX13">
        <v>46.333333333333336</v>
      </c>
      <c r="AY13">
        <v>47</v>
      </c>
      <c r="AZ13">
        <v>47.25</v>
      </c>
      <c r="BA13">
        <v>46.25</v>
      </c>
      <c r="BB13">
        <v>46</v>
      </c>
      <c r="BC13">
        <v>48.5</v>
      </c>
      <c r="BD13">
        <f>AVERAGE(rarefaction_analysis_ad_chao1[[#This Row],[depth-2145_iter-1]:[depth-2145_iter-10]])</f>
        <v>47.141666666666666</v>
      </c>
      <c r="BE13">
        <v>47</v>
      </c>
      <c r="BF13">
        <v>46</v>
      </c>
      <c r="BG13">
        <v>47.2</v>
      </c>
      <c r="BH13">
        <v>47</v>
      </c>
      <c r="BI13">
        <v>47</v>
      </c>
      <c r="BJ13">
        <v>47</v>
      </c>
      <c r="BK13">
        <v>47.5</v>
      </c>
      <c r="BL13">
        <v>47</v>
      </c>
      <c r="BM13">
        <v>47</v>
      </c>
      <c r="BN13">
        <v>47.5</v>
      </c>
      <c r="BO13">
        <f>AVERAGE(rarefaction_analysis_ad_chao1[[#This Row],[depth-2682_iter-1]:[depth-2682_iter-10]])</f>
        <v>47.019999999999996</v>
      </c>
      <c r="BP13">
        <v>47</v>
      </c>
      <c r="BQ13">
        <v>47</v>
      </c>
      <c r="BR13">
        <v>47</v>
      </c>
      <c r="BS13">
        <v>47</v>
      </c>
      <c r="BT13">
        <v>47</v>
      </c>
      <c r="BU13">
        <v>47</v>
      </c>
      <c r="BV13">
        <v>47</v>
      </c>
      <c r="BW13">
        <v>47</v>
      </c>
      <c r="BX13">
        <v>47</v>
      </c>
      <c r="BY13">
        <v>47</v>
      </c>
      <c r="BZ13">
        <f>AVERAGE(rarefaction_analysis_ad_chao1[[#This Row],[depth-3218_iter-1]:[depth-3218_iter-10]])</f>
        <v>47</v>
      </c>
      <c r="CA13">
        <v>47</v>
      </c>
      <c r="CB13">
        <v>47</v>
      </c>
      <c r="CC13">
        <v>47</v>
      </c>
      <c r="CD13">
        <v>47</v>
      </c>
      <c r="CE13">
        <v>47</v>
      </c>
      <c r="CF13">
        <v>47</v>
      </c>
      <c r="CG13">
        <v>47</v>
      </c>
      <c r="CH13">
        <v>47</v>
      </c>
      <c r="CI13">
        <v>47</v>
      </c>
      <c r="CJ13">
        <v>47</v>
      </c>
      <c r="CK13">
        <f>AVERAGE(rarefaction_analysis_ad_chao1[[#This Row],[depth-3754_iter-1]:[depth-3754_iter-10]])</f>
        <v>47</v>
      </c>
      <c r="CL13">
        <v>47</v>
      </c>
      <c r="CM13">
        <v>47</v>
      </c>
      <c r="CN13">
        <v>47</v>
      </c>
      <c r="CO13">
        <v>47</v>
      </c>
      <c r="CP13">
        <v>47</v>
      </c>
      <c r="CQ13">
        <v>47</v>
      </c>
      <c r="CR13">
        <v>47</v>
      </c>
      <c r="CS13">
        <v>47</v>
      </c>
      <c r="CT13">
        <v>47</v>
      </c>
      <c r="CU13">
        <v>47</v>
      </c>
      <c r="CV13">
        <f>AVERAGE(rarefaction_analysis_ad_chao1[[#This Row],[depth-4290_iter-1]:[depth-4290_iter-10]])</f>
        <v>47</v>
      </c>
      <c r="DG13" t="e">
        <f>AVERAGE(rarefaction_analysis_ad_chao1[[#This Row],[depth-4827_iter-1]:[depth-4827_iter-10]])</f>
        <v>#DIV/0!</v>
      </c>
      <c r="DH13" t="s">
        <v>219</v>
      </c>
      <c r="DI13">
        <v>547</v>
      </c>
      <c r="DJ13" t="s">
        <v>110</v>
      </c>
      <c r="DK13" t="s">
        <v>205</v>
      </c>
      <c r="DL13" t="s">
        <v>160</v>
      </c>
      <c r="DM13" t="s">
        <v>161</v>
      </c>
      <c r="DN13" t="s">
        <v>169</v>
      </c>
    </row>
    <row r="14" spans="1:118" x14ac:dyDescent="0.35">
      <c r="A14" t="s">
        <v>108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f>AVERAGE(rarefaction_analysis_ad_chao1[[#This Row],[depth-1_iter-1]:[depth-1_iter-10]])</f>
        <v>1</v>
      </c>
      <c r="M14">
        <v>33</v>
      </c>
      <c r="N14">
        <v>33.111111111111114</v>
      </c>
      <c r="O14">
        <v>34</v>
      </c>
      <c r="P14">
        <v>34.857142857142854</v>
      </c>
      <c r="Q14">
        <v>35.111111111111114</v>
      </c>
      <c r="R14">
        <v>34.333333333333336</v>
      </c>
      <c r="S14">
        <v>35.333333333333336</v>
      </c>
      <c r="T14">
        <v>35.25</v>
      </c>
      <c r="U14">
        <v>34.428571428571431</v>
      </c>
      <c r="V14">
        <v>36.666666666666657</v>
      </c>
      <c r="W14">
        <f>AVERAGE(rarefaction_analysis_ad_chao1[[#This Row],[depth-537_iter-1]:[depth-537_iter-10]])</f>
        <v>34.609126984126988</v>
      </c>
      <c r="X14">
        <v>36</v>
      </c>
      <c r="Y14">
        <v>36.5</v>
      </c>
      <c r="Z14">
        <v>36</v>
      </c>
      <c r="AA14">
        <v>35</v>
      </c>
      <c r="AB14">
        <v>35.333333333333336</v>
      </c>
      <c r="AC14">
        <v>36.6</v>
      </c>
      <c r="AD14">
        <v>36</v>
      </c>
      <c r="AE14">
        <v>36.333333333333336</v>
      </c>
      <c r="AF14">
        <v>36</v>
      </c>
      <c r="AG14">
        <v>35</v>
      </c>
      <c r="AH14">
        <f>AVERAGE(rarefaction_analysis_ad_chao1[[#This Row],[depth-1073_iter-1]:[depth-1073_iter-10]])</f>
        <v>35.876666666666665</v>
      </c>
      <c r="AI14">
        <v>35</v>
      </c>
      <c r="AJ14">
        <v>36</v>
      </c>
      <c r="AK14">
        <v>37</v>
      </c>
      <c r="AL14">
        <v>35</v>
      </c>
      <c r="AM14">
        <v>36</v>
      </c>
      <c r="AN14">
        <v>36</v>
      </c>
      <c r="AO14">
        <v>36</v>
      </c>
      <c r="AP14">
        <v>36</v>
      </c>
      <c r="AQ14">
        <v>36</v>
      </c>
      <c r="AR14">
        <v>36</v>
      </c>
      <c r="AS14">
        <f>AVERAGE(rarefaction_analysis_ad_chao1[[#This Row],[depth-1609_iter-1]:[depth-1609_iter-10]])</f>
        <v>35.9</v>
      </c>
      <c r="AT14">
        <v>36</v>
      </c>
      <c r="AU14">
        <v>36</v>
      </c>
      <c r="AV14">
        <v>36</v>
      </c>
      <c r="AW14">
        <v>36</v>
      </c>
      <c r="AX14">
        <v>36</v>
      </c>
      <c r="AY14">
        <v>36</v>
      </c>
      <c r="AZ14">
        <v>36</v>
      </c>
      <c r="BA14">
        <v>36</v>
      </c>
      <c r="BB14">
        <v>36</v>
      </c>
      <c r="BC14">
        <v>36</v>
      </c>
      <c r="BD14">
        <f>AVERAGE(rarefaction_analysis_ad_chao1[[#This Row],[depth-2145_iter-1]:[depth-2145_iter-10]])</f>
        <v>36</v>
      </c>
      <c r="BO14" t="e">
        <f>AVERAGE(rarefaction_analysis_ad_chao1[[#This Row],[depth-2682_iter-1]:[depth-2682_iter-10]])</f>
        <v>#DIV/0!</v>
      </c>
      <c r="BZ14" t="e">
        <f>AVERAGE(rarefaction_analysis_ad_chao1[[#This Row],[depth-3218_iter-1]:[depth-3218_iter-10]])</f>
        <v>#DIV/0!</v>
      </c>
      <c r="CK14" t="e">
        <f>AVERAGE(rarefaction_analysis_ad_chao1[[#This Row],[depth-3754_iter-1]:[depth-3754_iter-10]])</f>
        <v>#DIV/0!</v>
      </c>
      <c r="CV14" t="e">
        <f>AVERAGE(rarefaction_analysis_ad_chao1[[#This Row],[depth-4290_iter-1]:[depth-4290_iter-10]])</f>
        <v>#DIV/0!</v>
      </c>
      <c r="DG14" t="e">
        <f>AVERAGE(rarefaction_analysis_ad_chao1[[#This Row],[depth-4827_iter-1]:[depth-4827_iter-10]])</f>
        <v>#DIV/0!</v>
      </c>
      <c r="DH14" t="s">
        <v>109</v>
      </c>
      <c r="DI14">
        <v>457</v>
      </c>
      <c r="DJ14" t="s">
        <v>110</v>
      </c>
      <c r="DK14" t="s">
        <v>111</v>
      </c>
      <c r="DL14" t="s">
        <v>112</v>
      </c>
      <c r="DM14" t="s">
        <v>113</v>
      </c>
      <c r="DN14" t="s">
        <v>114</v>
      </c>
    </row>
    <row r="15" spans="1:118" x14ac:dyDescent="0.35">
      <c r="A15" t="s">
        <v>136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f>AVERAGE(rarefaction_analysis_ad_chao1[[#This Row],[depth-1_iter-1]:[depth-1_iter-10]])</f>
        <v>1</v>
      </c>
      <c r="M15">
        <v>33.5</v>
      </c>
      <c r="N15">
        <v>36.333333333333336</v>
      </c>
      <c r="O15">
        <v>35.200000000000003</v>
      </c>
      <c r="P15">
        <v>44.333333333333336</v>
      </c>
      <c r="Q15">
        <v>36.333333333333336</v>
      </c>
      <c r="R15">
        <v>41.75</v>
      </c>
      <c r="S15">
        <v>37</v>
      </c>
      <c r="T15">
        <v>36</v>
      </c>
      <c r="U15">
        <v>40.200000000000003</v>
      </c>
      <c r="V15">
        <v>33.333333333333336</v>
      </c>
      <c r="W15">
        <f>AVERAGE(rarefaction_analysis_ad_chao1[[#This Row],[depth-537_iter-1]:[depth-537_iter-10]])</f>
        <v>37.398333333333333</v>
      </c>
      <c r="X15">
        <v>44.25</v>
      </c>
      <c r="Y15">
        <v>38.200000000000003</v>
      </c>
      <c r="Z15">
        <v>39.200000000000003</v>
      </c>
      <c r="AA15">
        <v>38.6</v>
      </c>
      <c r="AB15">
        <v>38.5</v>
      </c>
      <c r="AC15">
        <v>40.333333333333336</v>
      </c>
      <c r="AD15">
        <v>37.25</v>
      </c>
      <c r="AE15">
        <v>45</v>
      </c>
      <c r="AF15">
        <v>42</v>
      </c>
      <c r="AG15">
        <v>36.75</v>
      </c>
      <c r="AH15">
        <f>AVERAGE(rarefaction_analysis_ad_chao1[[#This Row],[depth-1073_iter-1]:[depth-1073_iter-10]])</f>
        <v>40.00833333333334</v>
      </c>
      <c r="AI15">
        <v>38.75</v>
      </c>
      <c r="AJ15">
        <v>43.333333333333336</v>
      </c>
      <c r="AK15">
        <v>39</v>
      </c>
      <c r="AL15">
        <v>38.75</v>
      </c>
      <c r="AM15">
        <v>38.5</v>
      </c>
      <c r="AN15">
        <v>40</v>
      </c>
      <c r="AO15">
        <v>41</v>
      </c>
      <c r="AP15">
        <v>38.333333333333336</v>
      </c>
      <c r="AQ15">
        <v>41.5</v>
      </c>
      <c r="AR15">
        <v>39.75</v>
      </c>
      <c r="AS15">
        <f>AVERAGE(rarefaction_analysis_ad_chao1[[#This Row],[depth-1609_iter-1]:[depth-1609_iter-10]])</f>
        <v>39.891666666666666</v>
      </c>
      <c r="AT15">
        <v>39</v>
      </c>
      <c r="AU15">
        <v>38.333333333333336</v>
      </c>
      <c r="AV15">
        <v>40.75</v>
      </c>
      <c r="AW15">
        <v>39</v>
      </c>
      <c r="AX15">
        <v>40.25</v>
      </c>
      <c r="AY15">
        <v>40.333333333333336</v>
      </c>
      <c r="AZ15">
        <v>39.25</v>
      </c>
      <c r="BA15">
        <v>40</v>
      </c>
      <c r="BB15">
        <v>40</v>
      </c>
      <c r="BC15">
        <v>42</v>
      </c>
      <c r="BD15">
        <f>AVERAGE(rarefaction_analysis_ad_chao1[[#This Row],[depth-2145_iter-1]:[depth-2145_iter-10]])</f>
        <v>39.891666666666666</v>
      </c>
      <c r="BE15">
        <v>38</v>
      </c>
      <c r="BF15">
        <v>40</v>
      </c>
      <c r="BG15">
        <v>40.5</v>
      </c>
      <c r="BH15">
        <v>39.333333333333336</v>
      </c>
      <c r="BI15">
        <v>39</v>
      </c>
      <c r="BJ15">
        <v>40</v>
      </c>
      <c r="BK15">
        <v>46</v>
      </c>
      <c r="BL15">
        <v>40</v>
      </c>
      <c r="BM15">
        <v>41</v>
      </c>
      <c r="BN15">
        <v>40</v>
      </c>
      <c r="BO15">
        <f>AVERAGE(rarefaction_analysis_ad_chao1[[#This Row],[depth-2682_iter-1]:[depth-2682_iter-10]])</f>
        <v>40.38333333333334</v>
      </c>
      <c r="BP15">
        <v>40</v>
      </c>
      <c r="BQ15">
        <v>40.333333333333336</v>
      </c>
      <c r="BR15">
        <v>40</v>
      </c>
      <c r="BS15">
        <v>40</v>
      </c>
      <c r="BT15">
        <v>40</v>
      </c>
      <c r="BU15">
        <v>40</v>
      </c>
      <c r="BV15">
        <v>40.5</v>
      </c>
      <c r="BW15">
        <v>40</v>
      </c>
      <c r="BX15">
        <v>39</v>
      </c>
      <c r="BY15">
        <v>40</v>
      </c>
      <c r="BZ15">
        <f>AVERAGE(rarefaction_analysis_ad_chao1[[#This Row],[depth-3218_iter-1]:[depth-3218_iter-10]])</f>
        <v>39.983333333333334</v>
      </c>
      <c r="CA15">
        <v>40.5</v>
      </c>
      <c r="CB15">
        <v>40</v>
      </c>
      <c r="CC15">
        <v>40</v>
      </c>
      <c r="CD15">
        <v>40</v>
      </c>
      <c r="CE15">
        <v>40</v>
      </c>
      <c r="CF15">
        <v>40</v>
      </c>
      <c r="CG15">
        <v>39</v>
      </c>
      <c r="CH15">
        <v>40</v>
      </c>
      <c r="CI15">
        <v>40</v>
      </c>
      <c r="CJ15">
        <v>40</v>
      </c>
      <c r="CK15">
        <f>AVERAGE(rarefaction_analysis_ad_chao1[[#This Row],[depth-3754_iter-1]:[depth-3754_iter-10]])</f>
        <v>39.950000000000003</v>
      </c>
      <c r="CL15">
        <v>40</v>
      </c>
      <c r="CM15">
        <v>40</v>
      </c>
      <c r="CN15">
        <v>40</v>
      </c>
      <c r="CO15">
        <v>40</v>
      </c>
      <c r="CP15">
        <v>40</v>
      </c>
      <c r="CQ15">
        <v>40</v>
      </c>
      <c r="CR15">
        <v>40</v>
      </c>
      <c r="CS15">
        <v>40</v>
      </c>
      <c r="CT15">
        <v>40</v>
      </c>
      <c r="CU15">
        <v>40</v>
      </c>
      <c r="CV15">
        <f>AVERAGE(rarefaction_analysis_ad_chao1[[#This Row],[depth-4290_iter-1]:[depth-4290_iter-10]])</f>
        <v>40</v>
      </c>
      <c r="DG15" t="e">
        <f>AVERAGE(rarefaction_analysis_ad_chao1[[#This Row],[depth-4827_iter-1]:[depth-4827_iter-10]])</f>
        <v>#DIV/0!</v>
      </c>
      <c r="DH15" t="s">
        <v>137</v>
      </c>
      <c r="DI15">
        <v>457</v>
      </c>
      <c r="DJ15" t="s">
        <v>110</v>
      </c>
      <c r="DK15" t="s">
        <v>111</v>
      </c>
      <c r="DL15" t="s">
        <v>112</v>
      </c>
      <c r="DM15" t="s">
        <v>113</v>
      </c>
      <c r="DN15" t="s">
        <v>114</v>
      </c>
    </row>
    <row r="16" spans="1:118" x14ac:dyDescent="0.35">
      <c r="A16" t="s">
        <v>140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f>AVERAGE(rarefaction_analysis_ad_chao1[[#This Row],[depth-1_iter-1]:[depth-1_iter-10]])</f>
        <v>1</v>
      </c>
      <c r="M16">
        <v>48.5</v>
      </c>
      <c r="N16">
        <v>53</v>
      </c>
      <c r="O16">
        <v>39.666666666666657</v>
      </c>
      <c r="P16">
        <v>48.5</v>
      </c>
      <c r="Q16">
        <v>47</v>
      </c>
      <c r="R16">
        <v>45.333333333333336</v>
      </c>
      <c r="S16">
        <v>41.5</v>
      </c>
      <c r="T16">
        <v>47</v>
      </c>
      <c r="U16">
        <v>49</v>
      </c>
      <c r="V16">
        <v>45.625</v>
      </c>
      <c r="W16">
        <f>AVERAGE(rarefaction_analysis_ad_chao1[[#This Row],[depth-537_iter-1]:[depth-537_iter-10]])</f>
        <v>46.512500000000003</v>
      </c>
      <c r="X16">
        <v>46.545454545454547</v>
      </c>
      <c r="Y16">
        <v>42.2</v>
      </c>
      <c r="Z16">
        <v>46.428571428571431</v>
      </c>
      <c r="AA16">
        <v>44.666666666666657</v>
      </c>
      <c r="AB16">
        <v>54.2</v>
      </c>
      <c r="AC16">
        <v>53.25</v>
      </c>
      <c r="AD16">
        <v>49.2</v>
      </c>
      <c r="AE16">
        <v>44.5</v>
      </c>
      <c r="AF16">
        <v>53.25</v>
      </c>
      <c r="AG16">
        <v>46</v>
      </c>
      <c r="AH16">
        <f>AVERAGE(rarefaction_analysis_ad_chao1[[#This Row],[depth-1073_iter-1]:[depth-1073_iter-10]])</f>
        <v>48.024069264069269</v>
      </c>
      <c r="AI16">
        <v>50</v>
      </c>
      <c r="AJ16">
        <v>49</v>
      </c>
      <c r="AK16">
        <v>48.142857142857146</v>
      </c>
      <c r="AL16">
        <v>50.5</v>
      </c>
      <c r="AM16">
        <v>50</v>
      </c>
      <c r="AN16">
        <v>48.375</v>
      </c>
      <c r="AO16">
        <v>48.333333333333336</v>
      </c>
      <c r="AP16">
        <v>48</v>
      </c>
      <c r="AQ16">
        <v>49.333333333333336</v>
      </c>
      <c r="AR16">
        <v>52</v>
      </c>
      <c r="AS16">
        <f>AVERAGE(rarefaction_analysis_ad_chao1[[#This Row],[depth-1609_iter-1]:[depth-1609_iter-10]])</f>
        <v>49.368452380952377</v>
      </c>
      <c r="AT16">
        <v>48.6</v>
      </c>
      <c r="AU16">
        <v>49</v>
      </c>
      <c r="AV16">
        <v>51</v>
      </c>
      <c r="AW16">
        <v>50.5</v>
      </c>
      <c r="AX16">
        <v>49.6</v>
      </c>
      <c r="AY16">
        <v>48.2</v>
      </c>
      <c r="AZ16">
        <v>49.142857142857146</v>
      </c>
      <c r="BA16">
        <v>49.333333333333336</v>
      </c>
      <c r="BB16">
        <v>49</v>
      </c>
      <c r="BC16">
        <v>51.333333333333336</v>
      </c>
      <c r="BD16">
        <f>AVERAGE(rarefaction_analysis_ad_chao1[[#This Row],[depth-2145_iter-1]:[depth-2145_iter-10]])</f>
        <v>49.570952380952377</v>
      </c>
      <c r="BE16">
        <v>48</v>
      </c>
      <c r="BF16">
        <v>49.333333333333336</v>
      </c>
      <c r="BG16">
        <v>47</v>
      </c>
      <c r="BH16">
        <v>49</v>
      </c>
      <c r="BI16">
        <v>49</v>
      </c>
      <c r="BJ16">
        <v>50</v>
      </c>
      <c r="BK16">
        <v>49.5</v>
      </c>
      <c r="BL16">
        <v>48</v>
      </c>
      <c r="BM16">
        <v>48</v>
      </c>
      <c r="BN16">
        <v>50</v>
      </c>
      <c r="BO16">
        <f>AVERAGE(rarefaction_analysis_ad_chao1[[#This Row],[depth-2682_iter-1]:[depth-2682_iter-10]])</f>
        <v>48.783333333333339</v>
      </c>
      <c r="BP16">
        <v>49</v>
      </c>
      <c r="BQ16">
        <v>49.333333333333336</v>
      </c>
      <c r="BR16">
        <v>49</v>
      </c>
      <c r="BS16">
        <v>48.5</v>
      </c>
      <c r="BT16">
        <v>49</v>
      </c>
      <c r="BU16">
        <v>49</v>
      </c>
      <c r="BV16">
        <v>49.75</v>
      </c>
      <c r="BW16">
        <v>49</v>
      </c>
      <c r="BX16">
        <v>49</v>
      </c>
      <c r="BY16">
        <v>49</v>
      </c>
      <c r="BZ16">
        <f>AVERAGE(rarefaction_analysis_ad_chao1[[#This Row],[depth-3218_iter-1]:[depth-3218_iter-10]])</f>
        <v>49.058333333333337</v>
      </c>
      <c r="CA16">
        <v>49</v>
      </c>
      <c r="CB16">
        <v>49</v>
      </c>
      <c r="CC16">
        <v>49</v>
      </c>
      <c r="CD16">
        <v>49</v>
      </c>
      <c r="CE16">
        <v>49</v>
      </c>
      <c r="CF16">
        <v>49</v>
      </c>
      <c r="CG16">
        <v>49</v>
      </c>
      <c r="CH16">
        <v>49</v>
      </c>
      <c r="CI16">
        <v>49</v>
      </c>
      <c r="CJ16">
        <v>49</v>
      </c>
      <c r="CK16">
        <f>AVERAGE(rarefaction_analysis_ad_chao1[[#This Row],[depth-3754_iter-1]:[depth-3754_iter-10]])</f>
        <v>49</v>
      </c>
      <c r="CL16">
        <v>49</v>
      </c>
      <c r="CM16">
        <v>49</v>
      </c>
      <c r="CN16">
        <v>49</v>
      </c>
      <c r="CO16">
        <v>49</v>
      </c>
      <c r="CP16">
        <v>49</v>
      </c>
      <c r="CQ16">
        <v>49</v>
      </c>
      <c r="CR16">
        <v>49</v>
      </c>
      <c r="CS16">
        <v>49</v>
      </c>
      <c r="CT16">
        <v>49</v>
      </c>
      <c r="CU16">
        <v>49</v>
      </c>
      <c r="CV16">
        <f>AVERAGE(rarefaction_analysis_ad_chao1[[#This Row],[depth-4290_iter-1]:[depth-4290_iter-10]])</f>
        <v>49</v>
      </c>
      <c r="CW16">
        <v>49</v>
      </c>
      <c r="CX16">
        <v>49</v>
      </c>
      <c r="CY16">
        <v>49</v>
      </c>
      <c r="CZ16">
        <v>49</v>
      </c>
      <c r="DA16">
        <v>49</v>
      </c>
      <c r="DB16">
        <v>49</v>
      </c>
      <c r="DC16">
        <v>49</v>
      </c>
      <c r="DD16">
        <v>49</v>
      </c>
      <c r="DE16">
        <v>49</v>
      </c>
      <c r="DF16">
        <v>49</v>
      </c>
      <c r="DG16">
        <f>AVERAGE(rarefaction_analysis_ad_chao1[[#This Row],[depth-4827_iter-1]:[depth-4827_iter-10]])</f>
        <v>49</v>
      </c>
      <c r="DH16" t="s">
        <v>141</v>
      </c>
      <c r="DI16">
        <v>457</v>
      </c>
      <c r="DJ16" t="s">
        <v>110</v>
      </c>
      <c r="DK16" t="s">
        <v>111</v>
      </c>
      <c r="DL16" t="s">
        <v>112</v>
      </c>
      <c r="DM16" t="s">
        <v>113</v>
      </c>
      <c r="DN16" t="s">
        <v>114</v>
      </c>
    </row>
    <row r="17" spans="1:118" x14ac:dyDescent="0.35">
      <c r="A17" t="s">
        <v>144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f>AVERAGE(rarefaction_analysis_ad_chao1[[#This Row],[depth-1_iter-1]:[depth-1_iter-10]])</f>
        <v>1</v>
      </c>
      <c r="M17">
        <v>46.142857142857146</v>
      </c>
      <c r="N17">
        <v>43.75</v>
      </c>
      <c r="O17">
        <v>43</v>
      </c>
      <c r="P17">
        <v>45.2</v>
      </c>
      <c r="Q17">
        <v>42.666666666666657</v>
      </c>
      <c r="R17">
        <v>44.666666666666657</v>
      </c>
      <c r="S17">
        <v>44</v>
      </c>
      <c r="T17">
        <v>50.5</v>
      </c>
      <c r="U17">
        <v>41.25</v>
      </c>
      <c r="V17">
        <v>46</v>
      </c>
      <c r="W17">
        <f>AVERAGE(rarefaction_analysis_ad_chao1[[#This Row],[depth-537_iter-1]:[depth-537_iter-10]])</f>
        <v>44.717619047619046</v>
      </c>
      <c r="X17">
        <v>45.75</v>
      </c>
      <c r="Y17">
        <v>49</v>
      </c>
      <c r="Z17">
        <v>46.666666666666657</v>
      </c>
      <c r="AA17">
        <v>48.428571428571431</v>
      </c>
      <c r="AB17">
        <v>48</v>
      </c>
      <c r="AC17">
        <v>45.142857142857146</v>
      </c>
      <c r="AD17">
        <v>52.666666666666657</v>
      </c>
      <c r="AE17">
        <v>52.666666666666657</v>
      </c>
      <c r="AF17">
        <v>51.142857142857146</v>
      </c>
      <c r="AG17">
        <v>48.25</v>
      </c>
      <c r="AH17">
        <f>AVERAGE(rarefaction_analysis_ad_chao1[[#This Row],[depth-1073_iter-1]:[depth-1073_iter-10]])</f>
        <v>48.771428571428572</v>
      </c>
      <c r="AI17">
        <v>47.166666666666657</v>
      </c>
      <c r="AJ17">
        <v>53.5</v>
      </c>
      <c r="AK17">
        <v>50.5</v>
      </c>
      <c r="AL17">
        <v>48.166666666666657</v>
      </c>
      <c r="AM17">
        <v>49.166666666666657</v>
      </c>
      <c r="AN17">
        <v>47</v>
      </c>
      <c r="AO17">
        <v>49.5</v>
      </c>
      <c r="AP17">
        <v>48.2</v>
      </c>
      <c r="AQ17">
        <v>50</v>
      </c>
      <c r="AR17">
        <v>53</v>
      </c>
      <c r="AS17">
        <f>AVERAGE(rarefaction_analysis_ad_chao1[[#This Row],[depth-1609_iter-1]:[depth-1609_iter-10]])</f>
        <v>49.62</v>
      </c>
      <c r="AT17">
        <v>50.2</v>
      </c>
      <c r="AU17">
        <v>48.25</v>
      </c>
      <c r="AV17">
        <v>50.2</v>
      </c>
      <c r="AW17">
        <v>56</v>
      </c>
      <c r="AX17">
        <v>51</v>
      </c>
      <c r="AY17">
        <v>50.25</v>
      </c>
      <c r="AZ17">
        <v>49.2</v>
      </c>
      <c r="BA17">
        <v>49.25</v>
      </c>
      <c r="BB17">
        <v>50</v>
      </c>
      <c r="BC17">
        <v>50</v>
      </c>
      <c r="BD17">
        <f>AVERAGE(rarefaction_analysis_ad_chao1[[#This Row],[depth-2145_iter-1]:[depth-2145_iter-10]])</f>
        <v>50.434999999999995</v>
      </c>
      <c r="BE17">
        <v>48</v>
      </c>
      <c r="BF17">
        <v>50.333333333333336</v>
      </c>
      <c r="BG17">
        <v>50</v>
      </c>
      <c r="BH17">
        <v>50</v>
      </c>
      <c r="BI17">
        <v>49.333333333333336</v>
      </c>
      <c r="BJ17">
        <v>51</v>
      </c>
      <c r="BK17">
        <v>50</v>
      </c>
      <c r="BL17">
        <v>51</v>
      </c>
      <c r="BM17">
        <v>49</v>
      </c>
      <c r="BN17">
        <v>50</v>
      </c>
      <c r="BO17">
        <f>AVERAGE(rarefaction_analysis_ad_chao1[[#This Row],[depth-2682_iter-1]:[depth-2682_iter-10]])</f>
        <v>49.866666666666667</v>
      </c>
      <c r="BP17">
        <v>49</v>
      </c>
      <c r="BQ17">
        <v>50</v>
      </c>
      <c r="BR17">
        <v>50</v>
      </c>
      <c r="BS17">
        <v>50</v>
      </c>
      <c r="BT17">
        <v>50</v>
      </c>
      <c r="BU17">
        <v>49</v>
      </c>
      <c r="BV17">
        <v>49</v>
      </c>
      <c r="BW17">
        <v>50.333333333333336</v>
      </c>
      <c r="BX17">
        <v>50</v>
      </c>
      <c r="BY17">
        <v>50</v>
      </c>
      <c r="BZ17">
        <f>AVERAGE(rarefaction_analysis_ad_chao1[[#This Row],[depth-3218_iter-1]:[depth-3218_iter-10]])</f>
        <v>49.733333333333334</v>
      </c>
      <c r="CA17">
        <v>50</v>
      </c>
      <c r="CB17">
        <v>50</v>
      </c>
      <c r="CC17">
        <v>50</v>
      </c>
      <c r="CD17">
        <v>50</v>
      </c>
      <c r="CE17">
        <v>50</v>
      </c>
      <c r="CF17">
        <v>50</v>
      </c>
      <c r="CG17">
        <v>50</v>
      </c>
      <c r="CH17">
        <v>50</v>
      </c>
      <c r="CI17">
        <v>50</v>
      </c>
      <c r="CJ17">
        <v>50</v>
      </c>
      <c r="CK17">
        <f>AVERAGE(rarefaction_analysis_ad_chao1[[#This Row],[depth-3754_iter-1]:[depth-3754_iter-10]])</f>
        <v>50</v>
      </c>
      <c r="CL17">
        <v>50</v>
      </c>
      <c r="CM17">
        <v>50</v>
      </c>
      <c r="CN17">
        <v>50</v>
      </c>
      <c r="CO17">
        <v>50</v>
      </c>
      <c r="CP17">
        <v>50</v>
      </c>
      <c r="CQ17">
        <v>50</v>
      </c>
      <c r="CR17">
        <v>50</v>
      </c>
      <c r="CS17">
        <v>50</v>
      </c>
      <c r="CT17">
        <v>50</v>
      </c>
      <c r="CU17">
        <v>50</v>
      </c>
      <c r="CV17">
        <f>AVERAGE(rarefaction_analysis_ad_chao1[[#This Row],[depth-4290_iter-1]:[depth-4290_iter-10]])</f>
        <v>50</v>
      </c>
      <c r="DG17" t="e">
        <f>AVERAGE(rarefaction_analysis_ad_chao1[[#This Row],[depth-4827_iter-1]:[depth-4827_iter-10]])</f>
        <v>#DIV/0!</v>
      </c>
      <c r="DH17" t="s">
        <v>145</v>
      </c>
      <c r="DI17">
        <v>457</v>
      </c>
      <c r="DJ17" t="s">
        <v>110</v>
      </c>
      <c r="DK17" t="s">
        <v>111</v>
      </c>
      <c r="DL17" t="s">
        <v>112</v>
      </c>
      <c r="DM17" t="s">
        <v>113</v>
      </c>
      <c r="DN17" t="s">
        <v>114</v>
      </c>
    </row>
    <row r="18" spans="1:118" x14ac:dyDescent="0.35">
      <c r="A18" t="s">
        <v>146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f>AVERAGE(rarefaction_analysis_ad_chao1[[#This Row],[depth-1_iter-1]:[depth-1_iter-10]])</f>
        <v>1</v>
      </c>
      <c r="M18">
        <v>60</v>
      </c>
      <c r="N18">
        <v>56.111111111111121</v>
      </c>
      <c r="O18">
        <v>58.272727272727273</v>
      </c>
      <c r="P18">
        <v>52.1</v>
      </c>
      <c r="Q18">
        <v>52.666666666666657</v>
      </c>
      <c r="R18">
        <v>58.142857142857146</v>
      </c>
      <c r="S18">
        <v>65.75</v>
      </c>
      <c r="T18">
        <v>57.142857142857146</v>
      </c>
      <c r="U18">
        <v>72</v>
      </c>
      <c r="V18">
        <v>60</v>
      </c>
      <c r="W18">
        <f>AVERAGE(rarefaction_analysis_ad_chao1[[#This Row],[depth-537_iter-1]:[depth-537_iter-10]])</f>
        <v>59.218621933621947</v>
      </c>
      <c r="X18">
        <v>58</v>
      </c>
      <c r="Y18">
        <v>65.2</v>
      </c>
      <c r="Z18">
        <v>59.75</v>
      </c>
      <c r="AA18">
        <v>58.25</v>
      </c>
      <c r="AB18">
        <v>63</v>
      </c>
      <c r="AC18">
        <v>59</v>
      </c>
      <c r="AD18">
        <v>57.666666666666657</v>
      </c>
      <c r="AE18">
        <v>64.142857142857139</v>
      </c>
      <c r="AF18">
        <v>58.25</v>
      </c>
      <c r="AG18">
        <v>59.625</v>
      </c>
      <c r="AH18">
        <f>AVERAGE(rarefaction_analysis_ad_chao1[[#This Row],[depth-1073_iter-1]:[depth-1073_iter-10]])</f>
        <v>60.288452380952378</v>
      </c>
      <c r="AI18">
        <v>61.5</v>
      </c>
      <c r="AJ18">
        <v>61.5</v>
      </c>
      <c r="AK18">
        <v>61.2</v>
      </c>
      <c r="AL18">
        <v>60.75</v>
      </c>
      <c r="AM18">
        <v>60.25</v>
      </c>
      <c r="AN18">
        <v>62</v>
      </c>
      <c r="AO18">
        <v>64.333333333333329</v>
      </c>
      <c r="AP18">
        <v>62.2</v>
      </c>
      <c r="AQ18">
        <v>60.6</v>
      </c>
      <c r="AR18">
        <v>60.125</v>
      </c>
      <c r="AS18">
        <f>AVERAGE(rarefaction_analysis_ad_chao1[[#This Row],[depth-1609_iter-1]:[depth-1609_iter-10]])</f>
        <v>61.445833333333326</v>
      </c>
      <c r="AT18">
        <v>61.5</v>
      </c>
      <c r="AU18">
        <v>59</v>
      </c>
      <c r="AV18">
        <v>61</v>
      </c>
      <c r="AW18">
        <v>61.333333333333336</v>
      </c>
      <c r="AX18">
        <v>63</v>
      </c>
      <c r="AY18">
        <v>63</v>
      </c>
      <c r="AZ18">
        <v>61</v>
      </c>
      <c r="BA18">
        <v>60</v>
      </c>
      <c r="BB18">
        <v>60</v>
      </c>
      <c r="BC18">
        <v>61</v>
      </c>
      <c r="BD18">
        <f>AVERAGE(rarefaction_analysis_ad_chao1[[#This Row],[depth-2145_iter-1]:[depth-2145_iter-10]])</f>
        <v>61.083333333333336</v>
      </c>
      <c r="BE18">
        <v>61</v>
      </c>
      <c r="BF18">
        <v>61</v>
      </c>
      <c r="BG18">
        <v>61</v>
      </c>
      <c r="BH18">
        <v>60</v>
      </c>
      <c r="BI18">
        <v>61.333333333333336</v>
      </c>
      <c r="BJ18">
        <v>61</v>
      </c>
      <c r="BK18">
        <v>61</v>
      </c>
      <c r="BL18">
        <v>59</v>
      </c>
      <c r="BM18">
        <v>61</v>
      </c>
      <c r="BN18">
        <v>64</v>
      </c>
      <c r="BO18">
        <f>AVERAGE(rarefaction_analysis_ad_chao1[[#This Row],[depth-2682_iter-1]:[depth-2682_iter-10]])</f>
        <v>61.033333333333324</v>
      </c>
      <c r="BP18">
        <v>61</v>
      </c>
      <c r="BQ18">
        <v>61</v>
      </c>
      <c r="BR18">
        <v>61</v>
      </c>
      <c r="BS18">
        <v>61</v>
      </c>
      <c r="BT18">
        <v>62</v>
      </c>
      <c r="BU18">
        <v>61</v>
      </c>
      <c r="BV18">
        <v>61</v>
      </c>
      <c r="BW18">
        <v>61</v>
      </c>
      <c r="BX18">
        <v>61</v>
      </c>
      <c r="BY18">
        <v>62</v>
      </c>
      <c r="BZ18">
        <f>AVERAGE(rarefaction_analysis_ad_chao1[[#This Row],[depth-3218_iter-1]:[depth-3218_iter-10]])</f>
        <v>61.2</v>
      </c>
      <c r="CA18">
        <v>61</v>
      </c>
      <c r="CB18">
        <v>61</v>
      </c>
      <c r="CC18">
        <v>60</v>
      </c>
      <c r="CD18">
        <v>61</v>
      </c>
      <c r="CE18">
        <v>61</v>
      </c>
      <c r="CF18">
        <v>61</v>
      </c>
      <c r="CG18">
        <v>61</v>
      </c>
      <c r="CH18">
        <v>61</v>
      </c>
      <c r="CI18">
        <v>61</v>
      </c>
      <c r="CJ18">
        <v>61</v>
      </c>
      <c r="CK18">
        <f>AVERAGE(rarefaction_analysis_ad_chao1[[#This Row],[depth-3754_iter-1]:[depth-3754_iter-10]])</f>
        <v>60.9</v>
      </c>
      <c r="CV18" t="e">
        <f>AVERAGE(rarefaction_analysis_ad_chao1[[#This Row],[depth-4290_iter-1]:[depth-4290_iter-10]])</f>
        <v>#DIV/0!</v>
      </c>
      <c r="DG18" t="e">
        <f>AVERAGE(rarefaction_analysis_ad_chao1[[#This Row],[depth-4827_iter-1]:[depth-4827_iter-10]])</f>
        <v>#DIV/0!</v>
      </c>
      <c r="DH18" t="s">
        <v>147</v>
      </c>
      <c r="DI18">
        <v>468</v>
      </c>
      <c r="DJ18" t="s">
        <v>110</v>
      </c>
      <c r="DK18" t="s">
        <v>148</v>
      </c>
      <c r="DL18" t="s">
        <v>112</v>
      </c>
      <c r="DM18" t="s">
        <v>113</v>
      </c>
      <c r="DN18" t="s">
        <v>114</v>
      </c>
    </row>
    <row r="19" spans="1:118" x14ac:dyDescent="0.35">
      <c r="A19" t="s">
        <v>149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f>AVERAGE(rarefaction_analysis_ad_chao1[[#This Row],[depth-1_iter-1]:[depth-1_iter-10]])</f>
        <v>1</v>
      </c>
      <c r="M19">
        <v>34</v>
      </c>
      <c r="N19">
        <v>45</v>
      </c>
      <c r="O19">
        <v>37.142857142857146</v>
      </c>
      <c r="P19">
        <v>40.75</v>
      </c>
      <c r="Q19">
        <v>42.5</v>
      </c>
      <c r="R19">
        <v>45.25</v>
      </c>
      <c r="S19">
        <v>40.857142857142847</v>
      </c>
      <c r="T19">
        <v>47</v>
      </c>
      <c r="U19">
        <v>42.666666666666657</v>
      </c>
      <c r="V19">
        <v>40</v>
      </c>
      <c r="W19">
        <f>AVERAGE(rarefaction_analysis_ad_chao1[[#This Row],[depth-537_iter-1]:[depth-537_iter-10]])</f>
        <v>41.516666666666666</v>
      </c>
      <c r="X19">
        <v>43.2</v>
      </c>
      <c r="Y19">
        <v>48</v>
      </c>
      <c r="Z19">
        <v>41</v>
      </c>
      <c r="AA19">
        <v>45</v>
      </c>
      <c r="AB19">
        <v>41.75</v>
      </c>
      <c r="AC19">
        <v>40.25</v>
      </c>
      <c r="AD19">
        <v>41.333333333333336</v>
      </c>
      <c r="AE19">
        <v>44</v>
      </c>
      <c r="AF19">
        <v>43</v>
      </c>
      <c r="AG19">
        <v>42.166666666666657</v>
      </c>
      <c r="AH19">
        <f>AVERAGE(rarefaction_analysis_ad_chao1[[#This Row],[depth-1073_iter-1]:[depth-1073_iter-10]])</f>
        <v>42.969999999999992</v>
      </c>
      <c r="AI19">
        <v>43.333333333333336</v>
      </c>
      <c r="AJ19">
        <v>43.5</v>
      </c>
      <c r="AK19">
        <v>43.25</v>
      </c>
      <c r="AL19">
        <v>43</v>
      </c>
      <c r="AM19">
        <v>42</v>
      </c>
      <c r="AN19">
        <v>43</v>
      </c>
      <c r="AO19">
        <v>43</v>
      </c>
      <c r="AP19">
        <v>43.5</v>
      </c>
      <c r="AQ19">
        <v>43</v>
      </c>
      <c r="AR19">
        <v>43</v>
      </c>
      <c r="AS19">
        <f>AVERAGE(rarefaction_analysis_ad_chao1[[#This Row],[depth-1609_iter-1]:[depth-1609_iter-10]])</f>
        <v>43.058333333333337</v>
      </c>
      <c r="AT19">
        <v>43</v>
      </c>
      <c r="AU19">
        <v>43</v>
      </c>
      <c r="AV19">
        <v>41</v>
      </c>
      <c r="AW19">
        <v>43</v>
      </c>
      <c r="AX19">
        <v>43</v>
      </c>
      <c r="AY19">
        <v>43</v>
      </c>
      <c r="AZ19">
        <v>43</v>
      </c>
      <c r="BA19">
        <v>43</v>
      </c>
      <c r="BB19">
        <v>43</v>
      </c>
      <c r="BC19">
        <v>43</v>
      </c>
      <c r="BD19">
        <f>AVERAGE(rarefaction_analysis_ad_chao1[[#This Row],[depth-2145_iter-1]:[depth-2145_iter-10]])</f>
        <v>42.8</v>
      </c>
      <c r="BE19">
        <v>43</v>
      </c>
      <c r="BF19">
        <v>43</v>
      </c>
      <c r="BG19">
        <v>43</v>
      </c>
      <c r="BH19">
        <v>43</v>
      </c>
      <c r="BI19">
        <v>43</v>
      </c>
      <c r="BJ19">
        <v>43</v>
      </c>
      <c r="BK19">
        <v>43</v>
      </c>
      <c r="BL19">
        <v>43</v>
      </c>
      <c r="BM19">
        <v>43</v>
      </c>
      <c r="BN19">
        <v>44</v>
      </c>
      <c r="BO19">
        <f>AVERAGE(rarefaction_analysis_ad_chao1[[#This Row],[depth-2682_iter-1]:[depth-2682_iter-10]])</f>
        <v>43.1</v>
      </c>
      <c r="BP19">
        <v>43</v>
      </c>
      <c r="BQ19">
        <v>43</v>
      </c>
      <c r="BR19">
        <v>43</v>
      </c>
      <c r="BS19">
        <v>43</v>
      </c>
      <c r="BT19">
        <v>43</v>
      </c>
      <c r="BU19">
        <v>43</v>
      </c>
      <c r="BV19">
        <v>43</v>
      </c>
      <c r="BW19">
        <v>43</v>
      </c>
      <c r="BX19">
        <v>43</v>
      </c>
      <c r="BY19">
        <v>43</v>
      </c>
      <c r="BZ19">
        <f>AVERAGE(rarefaction_analysis_ad_chao1[[#This Row],[depth-3218_iter-1]:[depth-3218_iter-10]])</f>
        <v>43</v>
      </c>
      <c r="CA19">
        <v>43</v>
      </c>
      <c r="CB19">
        <v>43</v>
      </c>
      <c r="CC19">
        <v>43</v>
      </c>
      <c r="CD19">
        <v>43</v>
      </c>
      <c r="CE19">
        <v>43</v>
      </c>
      <c r="CF19">
        <v>43</v>
      </c>
      <c r="CG19">
        <v>43</v>
      </c>
      <c r="CH19">
        <v>43</v>
      </c>
      <c r="CI19">
        <v>43</v>
      </c>
      <c r="CJ19">
        <v>43</v>
      </c>
      <c r="CK19">
        <f>AVERAGE(rarefaction_analysis_ad_chao1[[#This Row],[depth-3754_iter-1]:[depth-3754_iter-10]])</f>
        <v>43</v>
      </c>
      <c r="CL19">
        <v>43</v>
      </c>
      <c r="CM19">
        <v>43</v>
      </c>
      <c r="CN19">
        <v>43</v>
      </c>
      <c r="CO19">
        <v>43</v>
      </c>
      <c r="CP19">
        <v>43</v>
      </c>
      <c r="CQ19">
        <v>43</v>
      </c>
      <c r="CR19">
        <v>43</v>
      </c>
      <c r="CS19">
        <v>43</v>
      </c>
      <c r="CT19">
        <v>43</v>
      </c>
      <c r="CU19">
        <v>43</v>
      </c>
      <c r="CV19">
        <f>AVERAGE(rarefaction_analysis_ad_chao1[[#This Row],[depth-4290_iter-1]:[depth-4290_iter-10]])</f>
        <v>43</v>
      </c>
      <c r="DG19" t="e">
        <f>AVERAGE(rarefaction_analysis_ad_chao1[[#This Row],[depth-4827_iter-1]:[depth-4827_iter-10]])</f>
        <v>#DIV/0!</v>
      </c>
      <c r="DH19" t="s">
        <v>150</v>
      </c>
      <c r="DI19">
        <v>468</v>
      </c>
      <c r="DJ19" t="s">
        <v>110</v>
      </c>
      <c r="DK19" t="s">
        <v>148</v>
      </c>
      <c r="DL19" t="s">
        <v>112</v>
      </c>
      <c r="DM19" t="s">
        <v>113</v>
      </c>
      <c r="DN19" t="s">
        <v>114</v>
      </c>
    </row>
    <row r="20" spans="1:118" x14ac:dyDescent="0.35">
      <c r="A20" t="s">
        <v>151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f>AVERAGE(rarefaction_analysis_ad_chao1[[#This Row],[depth-1_iter-1]:[depth-1_iter-10]])</f>
        <v>1</v>
      </c>
      <c r="M20">
        <v>40</v>
      </c>
      <c r="N20">
        <v>35.75</v>
      </c>
      <c r="O20">
        <v>41</v>
      </c>
      <c r="P20">
        <v>47</v>
      </c>
      <c r="Q20">
        <v>32.333333333333336</v>
      </c>
      <c r="R20">
        <v>34.857142857142854</v>
      </c>
      <c r="S20">
        <v>30.25</v>
      </c>
      <c r="T20">
        <v>34</v>
      </c>
      <c r="U20">
        <v>37.5</v>
      </c>
      <c r="V20">
        <v>32.5</v>
      </c>
      <c r="W20">
        <f>AVERAGE(rarefaction_analysis_ad_chao1[[#This Row],[depth-537_iter-1]:[depth-537_iter-10]])</f>
        <v>36.519047619047619</v>
      </c>
      <c r="X20">
        <v>43.5</v>
      </c>
      <c r="Y20">
        <v>35.6</v>
      </c>
      <c r="Z20">
        <v>43</v>
      </c>
      <c r="AA20">
        <v>36.428571428571431</v>
      </c>
      <c r="AB20">
        <v>36.5</v>
      </c>
      <c r="AC20">
        <v>37.5</v>
      </c>
      <c r="AD20">
        <v>44</v>
      </c>
      <c r="AE20">
        <v>37.5</v>
      </c>
      <c r="AF20">
        <v>35</v>
      </c>
      <c r="AG20">
        <v>36.200000000000003</v>
      </c>
      <c r="AH20">
        <f>AVERAGE(rarefaction_analysis_ad_chao1[[#This Row],[depth-1073_iter-1]:[depth-1073_iter-10]])</f>
        <v>38.522857142857141</v>
      </c>
      <c r="AI20">
        <v>37</v>
      </c>
      <c r="AJ20">
        <v>37</v>
      </c>
      <c r="AK20">
        <v>35.333333333333336</v>
      </c>
      <c r="AL20">
        <v>37.125</v>
      </c>
      <c r="AM20">
        <v>36</v>
      </c>
      <c r="AN20">
        <v>37</v>
      </c>
      <c r="AO20">
        <v>37</v>
      </c>
      <c r="AP20">
        <v>37</v>
      </c>
      <c r="AQ20">
        <v>38.5</v>
      </c>
      <c r="AR20">
        <v>37</v>
      </c>
      <c r="AS20">
        <f>AVERAGE(rarefaction_analysis_ad_chao1[[#This Row],[depth-1609_iter-1]:[depth-1609_iter-10]])</f>
        <v>36.895833333333336</v>
      </c>
      <c r="AT20">
        <v>36</v>
      </c>
      <c r="AU20">
        <v>37</v>
      </c>
      <c r="AV20">
        <v>37</v>
      </c>
      <c r="AW20">
        <v>37</v>
      </c>
      <c r="AX20">
        <v>37</v>
      </c>
      <c r="AY20">
        <v>37</v>
      </c>
      <c r="AZ20">
        <v>37</v>
      </c>
      <c r="BA20">
        <v>37</v>
      </c>
      <c r="BB20">
        <v>37</v>
      </c>
      <c r="BC20">
        <v>37</v>
      </c>
      <c r="BD20">
        <f>AVERAGE(rarefaction_analysis_ad_chao1[[#This Row],[depth-2145_iter-1]:[depth-2145_iter-10]])</f>
        <v>36.9</v>
      </c>
      <c r="BE20">
        <v>37</v>
      </c>
      <c r="BF20">
        <v>37</v>
      </c>
      <c r="BG20">
        <v>37</v>
      </c>
      <c r="BH20">
        <v>37</v>
      </c>
      <c r="BI20">
        <v>37</v>
      </c>
      <c r="BJ20">
        <v>37</v>
      </c>
      <c r="BK20">
        <v>37</v>
      </c>
      <c r="BL20">
        <v>37</v>
      </c>
      <c r="BM20">
        <v>37</v>
      </c>
      <c r="BN20">
        <v>37</v>
      </c>
      <c r="BO20">
        <f>AVERAGE(rarefaction_analysis_ad_chao1[[#This Row],[depth-2682_iter-1]:[depth-2682_iter-10]])</f>
        <v>37</v>
      </c>
      <c r="BP20">
        <v>37</v>
      </c>
      <c r="BQ20">
        <v>37</v>
      </c>
      <c r="BR20">
        <v>37</v>
      </c>
      <c r="BS20">
        <v>37</v>
      </c>
      <c r="BT20">
        <v>37</v>
      </c>
      <c r="BU20">
        <v>37</v>
      </c>
      <c r="BV20">
        <v>37</v>
      </c>
      <c r="BW20">
        <v>37</v>
      </c>
      <c r="BX20">
        <v>37</v>
      </c>
      <c r="BY20">
        <v>37</v>
      </c>
      <c r="BZ20">
        <f>AVERAGE(rarefaction_analysis_ad_chao1[[#This Row],[depth-3218_iter-1]:[depth-3218_iter-10]])</f>
        <v>37</v>
      </c>
      <c r="CK20" t="e">
        <f>AVERAGE(rarefaction_analysis_ad_chao1[[#This Row],[depth-3754_iter-1]:[depth-3754_iter-10]])</f>
        <v>#DIV/0!</v>
      </c>
      <c r="CV20" t="e">
        <f>AVERAGE(rarefaction_analysis_ad_chao1[[#This Row],[depth-4290_iter-1]:[depth-4290_iter-10]])</f>
        <v>#DIV/0!</v>
      </c>
      <c r="DG20" t="e">
        <f>AVERAGE(rarefaction_analysis_ad_chao1[[#This Row],[depth-4827_iter-1]:[depth-4827_iter-10]])</f>
        <v>#DIV/0!</v>
      </c>
      <c r="DH20" t="s">
        <v>152</v>
      </c>
      <c r="DI20">
        <v>469</v>
      </c>
      <c r="DJ20" t="s">
        <v>110</v>
      </c>
      <c r="DK20" t="s">
        <v>148</v>
      </c>
      <c r="DL20" t="s">
        <v>112</v>
      </c>
      <c r="DM20" t="s">
        <v>113</v>
      </c>
      <c r="DN20" t="s">
        <v>114</v>
      </c>
    </row>
    <row r="21" spans="1:118" x14ac:dyDescent="0.35">
      <c r="A21" t="s">
        <v>153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f>AVERAGE(rarefaction_analysis_ad_chao1[[#This Row],[depth-1_iter-1]:[depth-1_iter-10]])</f>
        <v>1</v>
      </c>
      <c r="M21">
        <v>36.142857142857146</v>
      </c>
      <c r="N21">
        <v>38.25</v>
      </c>
      <c r="O21">
        <v>39.666666666666657</v>
      </c>
      <c r="P21">
        <v>36.333333333333336</v>
      </c>
      <c r="Q21">
        <v>34.857142857142854</v>
      </c>
      <c r="R21">
        <v>37.333333333333336</v>
      </c>
      <c r="S21">
        <v>32.857142857142854</v>
      </c>
      <c r="T21">
        <v>35</v>
      </c>
      <c r="U21">
        <v>38.333333333333336</v>
      </c>
      <c r="V21">
        <v>39</v>
      </c>
      <c r="W21">
        <f>AVERAGE(rarefaction_analysis_ad_chao1[[#This Row],[depth-537_iter-1]:[depth-537_iter-10]])</f>
        <v>36.777380952380952</v>
      </c>
      <c r="X21">
        <v>39</v>
      </c>
      <c r="Y21">
        <v>39.5</v>
      </c>
      <c r="Z21">
        <v>39.200000000000003</v>
      </c>
      <c r="AA21">
        <v>37.6</v>
      </c>
      <c r="AB21">
        <v>38.200000000000003</v>
      </c>
      <c r="AC21">
        <v>38.125</v>
      </c>
      <c r="AD21">
        <v>39.200000000000003</v>
      </c>
      <c r="AE21">
        <v>39.6</v>
      </c>
      <c r="AF21">
        <v>41</v>
      </c>
      <c r="AG21">
        <v>39</v>
      </c>
      <c r="AH21">
        <f>AVERAGE(rarefaction_analysis_ad_chao1[[#This Row],[depth-1073_iter-1]:[depth-1073_iter-10]])</f>
        <v>39.042500000000004</v>
      </c>
      <c r="AI21">
        <v>39.200000000000003</v>
      </c>
      <c r="AJ21">
        <v>39</v>
      </c>
      <c r="AK21">
        <v>40.333333333333336</v>
      </c>
      <c r="AL21">
        <v>42</v>
      </c>
      <c r="AM21">
        <v>40.25</v>
      </c>
      <c r="AN21">
        <v>40.25</v>
      </c>
      <c r="AO21">
        <v>39</v>
      </c>
      <c r="AP21">
        <v>40.25</v>
      </c>
      <c r="AQ21">
        <v>37</v>
      </c>
      <c r="AR21">
        <v>39.5</v>
      </c>
      <c r="AS21">
        <f>AVERAGE(rarefaction_analysis_ad_chao1[[#This Row],[depth-1609_iter-1]:[depth-1609_iter-10]])</f>
        <v>39.678333333333327</v>
      </c>
      <c r="AT21">
        <v>39</v>
      </c>
      <c r="AU21">
        <v>39</v>
      </c>
      <c r="AV21">
        <v>41</v>
      </c>
      <c r="AW21">
        <v>40</v>
      </c>
      <c r="AX21">
        <v>40</v>
      </c>
      <c r="AY21">
        <v>40</v>
      </c>
      <c r="AZ21">
        <v>40</v>
      </c>
      <c r="BA21">
        <v>40</v>
      </c>
      <c r="BB21">
        <v>39</v>
      </c>
      <c r="BC21">
        <v>40</v>
      </c>
      <c r="BD21">
        <f>AVERAGE(rarefaction_analysis_ad_chao1[[#This Row],[depth-2145_iter-1]:[depth-2145_iter-10]])</f>
        <v>39.799999999999997</v>
      </c>
      <c r="BE21">
        <v>40</v>
      </c>
      <c r="BF21">
        <v>40</v>
      </c>
      <c r="BG21">
        <v>40</v>
      </c>
      <c r="BH21">
        <v>40</v>
      </c>
      <c r="BI21">
        <v>40.5</v>
      </c>
      <c r="BJ21">
        <v>40</v>
      </c>
      <c r="BK21">
        <v>40</v>
      </c>
      <c r="BL21">
        <v>40</v>
      </c>
      <c r="BM21">
        <v>40</v>
      </c>
      <c r="BN21">
        <v>40</v>
      </c>
      <c r="BO21">
        <f>AVERAGE(rarefaction_analysis_ad_chao1[[#This Row],[depth-2682_iter-1]:[depth-2682_iter-10]])</f>
        <v>40.049999999999997</v>
      </c>
      <c r="BP21">
        <v>40</v>
      </c>
      <c r="BQ21">
        <v>40</v>
      </c>
      <c r="BR21">
        <v>40</v>
      </c>
      <c r="BS21">
        <v>40</v>
      </c>
      <c r="BT21">
        <v>40</v>
      </c>
      <c r="BU21">
        <v>40</v>
      </c>
      <c r="BV21">
        <v>40</v>
      </c>
      <c r="BW21">
        <v>40</v>
      </c>
      <c r="BX21">
        <v>40</v>
      </c>
      <c r="BY21">
        <v>40</v>
      </c>
      <c r="BZ21">
        <f>AVERAGE(rarefaction_analysis_ad_chao1[[#This Row],[depth-3218_iter-1]:[depth-3218_iter-10]])</f>
        <v>40</v>
      </c>
      <c r="CK21" t="e">
        <f>AVERAGE(rarefaction_analysis_ad_chao1[[#This Row],[depth-3754_iter-1]:[depth-3754_iter-10]])</f>
        <v>#DIV/0!</v>
      </c>
      <c r="CV21" t="e">
        <f>AVERAGE(rarefaction_analysis_ad_chao1[[#This Row],[depth-4290_iter-1]:[depth-4290_iter-10]])</f>
        <v>#DIV/0!</v>
      </c>
      <c r="DG21" t="e">
        <f>AVERAGE(rarefaction_analysis_ad_chao1[[#This Row],[depth-4827_iter-1]:[depth-4827_iter-10]])</f>
        <v>#DIV/0!</v>
      </c>
      <c r="DH21" t="s">
        <v>154</v>
      </c>
      <c r="DI21">
        <v>468</v>
      </c>
      <c r="DJ21" t="s">
        <v>110</v>
      </c>
      <c r="DK21" t="s">
        <v>148</v>
      </c>
      <c r="DL21" t="s">
        <v>112</v>
      </c>
      <c r="DM21" t="s">
        <v>113</v>
      </c>
      <c r="DN21" t="s">
        <v>114</v>
      </c>
    </row>
    <row r="22" spans="1:118" x14ac:dyDescent="0.35">
      <c r="A22" t="s">
        <v>155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f>AVERAGE(rarefaction_analysis_ad_chao1[[#This Row],[depth-1_iter-1]:[depth-1_iter-10]])</f>
        <v>1</v>
      </c>
      <c r="M22">
        <v>34</v>
      </c>
      <c r="N22">
        <v>38.75</v>
      </c>
      <c r="O22">
        <v>36.5</v>
      </c>
      <c r="P22">
        <v>39.75</v>
      </c>
      <c r="Q22">
        <v>37.142857142857146</v>
      </c>
      <c r="R22">
        <v>33.166666666666664</v>
      </c>
      <c r="S22">
        <v>33.142857142857146</v>
      </c>
      <c r="T22">
        <v>37.5</v>
      </c>
      <c r="U22">
        <v>33.333333333333336</v>
      </c>
      <c r="V22">
        <v>31</v>
      </c>
      <c r="W22">
        <f>AVERAGE(rarefaction_analysis_ad_chao1[[#This Row],[depth-537_iter-1]:[depth-537_iter-10]])</f>
        <v>35.428571428571431</v>
      </c>
      <c r="X22">
        <v>37.5</v>
      </c>
      <c r="Y22">
        <v>37</v>
      </c>
      <c r="Z22">
        <v>35</v>
      </c>
      <c r="AA22">
        <v>36.25</v>
      </c>
      <c r="AB22">
        <v>38</v>
      </c>
      <c r="AC22">
        <v>36.333333333333336</v>
      </c>
      <c r="AD22">
        <v>36</v>
      </c>
      <c r="AE22">
        <v>35.333333333333336</v>
      </c>
      <c r="AF22">
        <v>36.5</v>
      </c>
      <c r="AG22">
        <v>35.5</v>
      </c>
      <c r="AH22">
        <f>AVERAGE(rarefaction_analysis_ad_chao1[[#This Row],[depth-1073_iter-1]:[depth-1073_iter-10]])</f>
        <v>36.341666666666669</v>
      </c>
      <c r="AI22">
        <v>39</v>
      </c>
      <c r="AJ22">
        <v>38.5</v>
      </c>
      <c r="AK22">
        <v>40</v>
      </c>
      <c r="AL22">
        <v>38</v>
      </c>
      <c r="AM22">
        <v>36</v>
      </c>
      <c r="AN22">
        <v>38</v>
      </c>
      <c r="AO22">
        <v>38.333333333333336</v>
      </c>
      <c r="AP22">
        <v>36</v>
      </c>
      <c r="AQ22">
        <v>36</v>
      </c>
      <c r="AR22">
        <v>36</v>
      </c>
      <c r="AS22">
        <f>AVERAGE(rarefaction_analysis_ad_chao1[[#This Row],[depth-1609_iter-1]:[depth-1609_iter-10]])</f>
        <v>37.583333333333329</v>
      </c>
      <c r="AT22">
        <v>44</v>
      </c>
      <c r="AU22">
        <v>38</v>
      </c>
      <c r="AV22">
        <v>36</v>
      </c>
      <c r="AW22">
        <v>37.5</v>
      </c>
      <c r="AX22">
        <v>38</v>
      </c>
      <c r="AY22">
        <v>38</v>
      </c>
      <c r="AZ22">
        <v>38.5</v>
      </c>
      <c r="BA22">
        <v>37</v>
      </c>
      <c r="BB22">
        <v>37.5</v>
      </c>
      <c r="BC22">
        <v>38.333333333333336</v>
      </c>
      <c r="BD22">
        <f>AVERAGE(rarefaction_analysis_ad_chao1[[#This Row],[depth-2145_iter-1]:[depth-2145_iter-10]])</f>
        <v>38.283333333333331</v>
      </c>
      <c r="BE22">
        <v>38</v>
      </c>
      <c r="BF22">
        <v>38</v>
      </c>
      <c r="BG22">
        <v>38</v>
      </c>
      <c r="BH22">
        <v>39</v>
      </c>
      <c r="BI22">
        <v>38</v>
      </c>
      <c r="BJ22">
        <v>38</v>
      </c>
      <c r="BK22">
        <v>37</v>
      </c>
      <c r="BL22">
        <v>38.333333333333336</v>
      </c>
      <c r="BM22">
        <v>38</v>
      </c>
      <c r="BN22">
        <v>38.5</v>
      </c>
      <c r="BO22">
        <f>AVERAGE(rarefaction_analysis_ad_chao1[[#This Row],[depth-2682_iter-1]:[depth-2682_iter-10]])</f>
        <v>38.083333333333329</v>
      </c>
      <c r="BP22">
        <v>38</v>
      </c>
      <c r="BQ22">
        <v>38</v>
      </c>
      <c r="BR22">
        <v>38</v>
      </c>
      <c r="BS22">
        <v>38</v>
      </c>
      <c r="BT22">
        <v>38</v>
      </c>
      <c r="BU22">
        <v>38</v>
      </c>
      <c r="BV22">
        <v>38</v>
      </c>
      <c r="BW22">
        <v>38</v>
      </c>
      <c r="BX22">
        <v>38</v>
      </c>
      <c r="BY22">
        <v>38</v>
      </c>
      <c r="BZ22">
        <f>AVERAGE(rarefaction_analysis_ad_chao1[[#This Row],[depth-3218_iter-1]:[depth-3218_iter-10]])</f>
        <v>38</v>
      </c>
      <c r="CA22">
        <v>38</v>
      </c>
      <c r="CB22">
        <v>38</v>
      </c>
      <c r="CC22">
        <v>38</v>
      </c>
      <c r="CD22">
        <v>38</v>
      </c>
      <c r="CE22">
        <v>38</v>
      </c>
      <c r="CF22">
        <v>38</v>
      </c>
      <c r="CG22">
        <v>38</v>
      </c>
      <c r="CH22">
        <v>38</v>
      </c>
      <c r="CI22">
        <v>38</v>
      </c>
      <c r="CJ22">
        <v>38</v>
      </c>
      <c r="CK22">
        <f>AVERAGE(rarefaction_analysis_ad_chao1[[#This Row],[depth-3754_iter-1]:[depth-3754_iter-10]])</f>
        <v>38</v>
      </c>
      <c r="CV22" t="e">
        <f>AVERAGE(rarefaction_analysis_ad_chao1[[#This Row],[depth-4290_iter-1]:[depth-4290_iter-10]])</f>
        <v>#DIV/0!</v>
      </c>
      <c r="DG22" t="e">
        <f>AVERAGE(rarefaction_analysis_ad_chao1[[#This Row],[depth-4827_iter-1]:[depth-4827_iter-10]])</f>
        <v>#DIV/0!</v>
      </c>
      <c r="DH22" t="s">
        <v>156</v>
      </c>
      <c r="DI22">
        <v>469</v>
      </c>
      <c r="DJ22" t="s">
        <v>110</v>
      </c>
      <c r="DK22" t="s">
        <v>148</v>
      </c>
      <c r="DL22" t="s">
        <v>112</v>
      </c>
      <c r="DM22" t="s">
        <v>113</v>
      </c>
      <c r="DN22" t="s">
        <v>114</v>
      </c>
    </row>
    <row r="23" spans="1:118" x14ac:dyDescent="0.35">
      <c r="A23" t="s">
        <v>163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f>AVERAGE(rarefaction_analysis_ad_chao1[[#This Row],[depth-1_iter-1]:[depth-1_iter-10]])</f>
        <v>1</v>
      </c>
      <c r="M23">
        <v>83.25</v>
      </c>
      <c r="N23">
        <v>53.875</v>
      </c>
      <c r="O23">
        <v>62.5</v>
      </c>
      <c r="P23">
        <v>61.5</v>
      </c>
      <c r="Q23">
        <v>53.5</v>
      </c>
      <c r="R23">
        <v>55</v>
      </c>
      <c r="S23">
        <v>52.5</v>
      </c>
      <c r="T23">
        <v>54.142857142857146</v>
      </c>
      <c r="U23">
        <v>56</v>
      </c>
      <c r="V23">
        <v>55.111111111111121</v>
      </c>
      <c r="W23">
        <f>AVERAGE(rarefaction_analysis_ad_chao1[[#This Row],[depth-537_iter-1]:[depth-537_iter-10]])</f>
        <v>58.737896825396817</v>
      </c>
      <c r="X23">
        <v>64.25</v>
      </c>
      <c r="Y23">
        <v>81.5</v>
      </c>
      <c r="Z23">
        <v>64</v>
      </c>
      <c r="AA23">
        <v>62</v>
      </c>
      <c r="AB23">
        <v>60.75</v>
      </c>
      <c r="AC23">
        <v>57.2</v>
      </c>
      <c r="AD23">
        <v>57.857142857142847</v>
      </c>
      <c r="AE23">
        <v>58</v>
      </c>
      <c r="AF23">
        <v>58</v>
      </c>
      <c r="AG23">
        <v>59.75</v>
      </c>
      <c r="AH23">
        <f>AVERAGE(rarefaction_analysis_ad_chao1[[#This Row],[depth-1073_iter-1]:[depth-1073_iter-10]])</f>
        <v>62.330714285714279</v>
      </c>
      <c r="AI23">
        <v>62</v>
      </c>
      <c r="AJ23">
        <v>60.1</v>
      </c>
      <c r="AK23">
        <v>58.125</v>
      </c>
      <c r="AL23">
        <v>62.5</v>
      </c>
      <c r="AM23">
        <v>59.857142857142847</v>
      </c>
      <c r="AN23">
        <v>60.111111111111121</v>
      </c>
      <c r="AO23">
        <v>60.75</v>
      </c>
      <c r="AP23">
        <v>60.857142857142847</v>
      </c>
      <c r="AQ23">
        <v>60.857142857142847</v>
      </c>
      <c r="AR23">
        <v>59.375</v>
      </c>
      <c r="AS23">
        <f>AVERAGE(rarefaction_analysis_ad_chao1[[#This Row],[depth-1609_iter-1]:[depth-1609_iter-10]])</f>
        <v>60.453253968253968</v>
      </c>
      <c r="BD23" t="e">
        <f>AVERAGE(rarefaction_analysis_ad_chao1[[#This Row],[depth-2145_iter-1]:[depth-2145_iter-10]])</f>
        <v>#DIV/0!</v>
      </c>
      <c r="BO23" t="e">
        <f>AVERAGE(rarefaction_analysis_ad_chao1[[#This Row],[depth-2682_iter-1]:[depth-2682_iter-10]])</f>
        <v>#DIV/0!</v>
      </c>
      <c r="BZ23" t="e">
        <f>AVERAGE(rarefaction_analysis_ad_chao1[[#This Row],[depth-3218_iter-1]:[depth-3218_iter-10]])</f>
        <v>#DIV/0!</v>
      </c>
      <c r="CK23" t="e">
        <f>AVERAGE(rarefaction_analysis_ad_chao1[[#This Row],[depth-3754_iter-1]:[depth-3754_iter-10]])</f>
        <v>#DIV/0!</v>
      </c>
      <c r="CV23" t="e">
        <f>AVERAGE(rarefaction_analysis_ad_chao1[[#This Row],[depth-4290_iter-1]:[depth-4290_iter-10]])</f>
        <v>#DIV/0!</v>
      </c>
      <c r="DG23" t="e">
        <f>AVERAGE(rarefaction_analysis_ad_chao1[[#This Row],[depth-4827_iter-1]:[depth-4827_iter-10]])</f>
        <v>#DIV/0!</v>
      </c>
      <c r="DH23" t="s">
        <v>164</v>
      </c>
      <c r="DI23">
        <v>469</v>
      </c>
      <c r="DJ23" t="s">
        <v>110</v>
      </c>
      <c r="DK23" t="s">
        <v>148</v>
      </c>
      <c r="DL23" t="s">
        <v>112</v>
      </c>
      <c r="DM23" t="s">
        <v>113</v>
      </c>
      <c r="DN23" t="s">
        <v>114</v>
      </c>
    </row>
    <row r="24" spans="1:118" x14ac:dyDescent="0.35">
      <c r="A24" t="s">
        <v>170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f>AVERAGE(rarefaction_analysis_ad_chao1[[#This Row],[depth-1_iter-1]:[depth-1_iter-10]])</f>
        <v>1</v>
      </c>
      <c r="M24">
        <v>34.428571428571431</v>
      </c>
      <c r="N24">
        <v>48</v>
      </c>
      <c r="O24">
        <v>46.5</v>
      </c>
      <c r="P24">
        <v>35.200000000000003</v>
      </c>
      <c r="Q24">
        <v>40</v>
      </c>
      <c r="R24">
        <v>41.5</v>
      </c>
      <c r="S24">
        <v>46.5</v>
      </c>
      <c r="T24">
        <v>36.857142857142847</v>
      </c>
      <c r="U24">
        <v>42</v>
      </c>
      <c r="V24">
        <v>39</v>
      </c>
      <c r="W24">
        <f>AVERAGE(rarefaction_analysis_ad_chao1[[#This Row],[depth-537_iter-1]:[depth-537_iter-10]])</f>
        <v>40.998571428571424</v>
      </c>
      <c r="X24">
        <v>41</v>
      </c>
      <c r="Y24">
        <v>39</v>
      </c>
      <c r="Z24">
        <v>41.142857142857146</v>
      </c>
      <c r="AA24">
        <v>41.75</v>
      </c>
      <c r="AB24">
        <v>42</v>
      </c>
      <c r="AC24">
        <v>41.375</v>
      </c>
      <c r="AD24">
        <v>43.5</v>
      </c>
      <c r="AE24">
        <v>45.333333333333336</v>
      </c>
      <c r="AF24">
        <v>40.111111111111121</v>
      </c>
      <c r="AG24">
        <v>39.5</v>
      </c>
      <c r="AH24">
        <f>AVERAGE(rarefaction_analysis_ad_chao1[[#This Row],[depth-1073_iter-1]:[depth-1073_iter-10]])</f>
        <v>41.471230158730158</v>
      </c>
      <c r="AI24">
        <v>42.75</v>
      </c>
      <c r="AJ24">
        <v>43.2</v>
      </c>
      <c r="AK24">
        <v>42.2</v>
      </c>
      <c r="AL24">
        <v>43.5</v>
      </c>
      <c r="AM24">
        <v>45</v>
      </c>
      <c r="AN24">
        <v>43</v>
      </c>
      <c r="AO24">
        <v>43.5</v>
      </c>
      <c r="AP24">
        <v>41</v>
      </c>
      <c r="AQ24">
        <v>44</v>
      </c>
      <c r="AR24">
        <v>45</v>
      </c>
      <c r="AS24">
        <f>AVERAGE(rarefaction_analysis_ad_chao1[[#This Row],[depth-1609_iter-1]:[depth-1609_iter-10]])</f>
        <v>43.314999999999998</v>
      </c>
      <c r="AT24">
        <v>43</v>
      </c>
      <c r="AU24">
        <v>39</v>
      </c>
      <c r="AV24">
        <v>43.333333333333336</v>
      </c>
      <c r="AW24">
        <v>43</v>
      </c>
      <c r="AX24">
        <v>43</v>
      </c>
      <c r="AY24">
        <v>43</v>
      </c>
      <c r="AZ24">
        <v>43.333333333333336</v>
      </c>
      <c r="BA24">
        <v>43.6</v>
      </c>
      <c r="BB24">
        <v>42.2</v>
      </c>
      <c r="BC24">
        <v>42</v>
      </c>
      <c r="BD24">
        <f>AVERAGE(rarefaction_analysis_ad_chao1[[#This Row],[depth-2145_iter-1]:[depth-2145_iter-10]])</f>
        <v>42.546666666666667</v>
      </c>
      <c r="BE24">
        <v>43</v>
      </c>
      <c r="BF24">
        <v>43</v>
      </c>
      <c r="BG24">
        <v>42.5</v>
      </c>
      <c r="BH24">
        <v>43</v>
      </c>
      <c r="BI24">
        <v>43</v>
      </c>
      <c r="BJ24">
        <v>44.5</v>
      </c>
      <c r="BK24">
        <v>42</v>
      </c>
      <c r="BL24">
        <v>43</v>
      </c>
      <c r="BM24">
        <v>43</v>
      </c>
      <c r="BN24">
        <v>43</v>
      </c>
      <c r="BO24">
        <f>AVERAGE(rarefaction_analysis_ad_chao1[[#This Row],[depth-2682_iter-1]:[depth-2682_iter-10]])</f>
        <v>43</v>
      </c>
      <c r="BP24">
        <v>43</v>
      </c>
      <c r="BQ24">
        <v>43</v>
      </c>
      <c r="BR24">
        <v>43</v>
      </c>
      <c r="BS24">
        <v>42</v>
      </c>
      <c r="BT24">
        <v>43</v>
      </c>
      <c r="BU24">
        <v>43</v>
      </c>
      <c r="BV24">
        <v>43</v>
      </c>
      <c r="BW24">
        <v>42</v>
      </c>
      <c r="BX24">
        <v>43</v>
      </c>
      <c r="BY24">
        <v>43</v>
      </c>
      <c r="BZ24">
        <f>AVERAGE(rarefaction_analysis_ad_chao1[[#This Row],[depth-3218_iter-1]:[depth-3218_iter-10]])</f>
        <v>42.8</v>
      </c>
      <c r="CA24">
        <v>43</v>
      </c>
      <c r="CB24">
        <v>43</v>
      </c>
      <c r="CC24">
        <v>43</v>
      </c>
      <c r="CD24">
        <v>43</v>
      </c>
      <c r="CE24">
        <v>43</v>
      </c>
      <c r="CF24">
        <v>43</v>
      </c>
      <c r="CG24">
        <v>43</v>
      </c>
      <c r="CH24">
        <v>43</v>
      </c>
      <c r="CI24">
        <v>43</v>
      </c>
      <c r="CJ24">
        <v>43</v>
      </c>
      <c r="CK24">
        <f>AVERAGE(rarefaction_analysis_ad_chao1[[#This Row],[depth-3754_iter-1]:[depth-3754_iter-10]])</f>
        <v>43</v>
      </c>
      <c r="CL24">
        <v>43</v>
      </c>
      <c r="CM24">
        <v>43</v>
      </c>
      <c r="CN24">
        <v>43</v>
      </c>
      <c r="CO24">
        <v>43</v>
      </c>
      <c r="CP24">
        <v>43</v>
      </c>
      <c r="CQ24">
        <v>43</v>
      </c>
      <c r="CR24">
        <v>43</v>
      </c>
      <c r="CS24">
        <v>43</v>
      </c>
      <c r="CT24">
        <v>43</v>
      </c>
      <c r="CU24">
        <v>43</v>
      </c>
      <c r="CV24">
        <f>AVERAGE(rarefaction_analysis_ad_chao1[[#This Row],[depth-4290_iter-1]:[depth-4290_iter-10]])</f>
        <v>43</v>
      </c>
      <c r="DG24" t="e">
        <f>AVERAGE(rarefaction_analysis_ad_chao1[[#This Row],[depth-4827_iter-1]:[depth-4827_iter-10]])</f>
        <v>#DIV/0!</v>
      </c>
      <c r="DH24" t="s">
        <v>171</v>
      </c>
      <c r="DI24">
        <v>468</v>
      </c>
      <c r="DJ24" t="s">
        <v>110</v>
      </c>
      <c r="DK24" t="s">
        <v>148</v>
      </c>
      <c r="DL24" t="s">
        <v>112</v>
      </c>
      <c r="DM24" t="s">
        <v>113</v>
      </c>
      <c r="DN24" t="s">
        <v>114</v>
      </c>
    </row>
    <row r="25" spans="1:118" x14ac:dyDescent="0.35">
      <c r="A25" t="s">
        <v>177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f>AVERAGE(rarefaction_analysis_ad_chao1[[#This Row],[depth-1_iter-1]:[depth-1_iter-10]])</f>
        <v>1</v>
      </c>
      <c r="M25">
        <v>34</v>
      </c>
      <c r="N25">
        <v>33</v>
      </c>
      <c r="O25">
        <v>37.5</v>
      </c>
      <c r="P25">
        <v>32.5</v>
      </c>
      <c r="Q25">
        <v>44.5</v>
      </c>
      <c r="R25">
        <v>39</v>
      </c>
      <c r="S25">
        <v>33</v>
      </c>
      <c r="T25">
        <v>38.5</v>
      </c>
      <c r="U25">
        <v>36.333333333333336</v>
      </c>
      <c r="V25">
        <v>32.200000000000003</v>
      </c>
      <c r="W25">
        <f>AVERAGE(rarefaction_analysis_ad_chao1[[#This Row],[depth-537_iter-1]:[depth-537_iter-10]])</f>
        <v>36.053333333333327</v>
      </c>
      <c r="X25">
        <v>33</v>
      </c>
      <c r="Y25">
        <v>40.75</v>
      </c>
      <c r="Z25">
        <v>38.200000000000003</v>
      </c>
      <c r="AA25">
        <v>36</v>
      </c>
      <c r="AB25">
        <v>38</v>
      </c>
      <c r="AC25">
        <v>37.200000000000003</v>
      </c>
      <c r="AD25">
        <v>37</v>
      </c>
      <c r="AE25">
        <v>36.5</v>
      </c>
      <c r="AF25">
        <v>38.333333333333336</v>
      </c>
      <c r="AG25">
        <v>35.200000000000003</v>
      </c>
      <c r="AH25">
        <f>AVERAGE(rarefaction_analysis_ad_chao1[[#This Row],[depth-1073_iter-1]:[depth-1073_iter-10]])</f>
        <v>37.018333333333331</v>
      </c>
      <c r="AI25">
        <v>39</v>
      </c>
      <c r="AJ25">
        <v>37.25</v>
      </c>
      <c r="AK25">
        <v>38.333333333333336</v>
      </c>
      <c r="AL25">
        <v>37.25</v>
      </c>
      <c r="AM25">
        <v>36.25</v>
      </c>
      <c r="AN25">
        <v>37.75</v>
      </c>
      <c r="AO25">
        <v>39</v>
      </c>
      <c r="AP25">
        <v>38.166666666666657</v>
      </c>
      <c r="AQ25">
        <v>40.5</v>
      </c>
      <c r="AR25">
        <v>39</v>
      </c>
      <c r="AS25">
        <f>AVERAGE(rarefaction_analysis_ad_chao1[[#This Row],[depth-1609_iter-1]:[depth-1609_iter-10]])</f>
        <v>38.25</v>
      </c>
      <c r="AT25">
        <v>38.5</v>
      </c>
      <c r="AU25">
        <v>38</v>
      </c>
      <c r="AV25">
        <v>38</v>
      </c>
      <c r="AW25">
        <v>39</v>
      </c>
      <c r="AX25">
        <v>38</v>
      </c>
      <c r="AY25">
        <v>38</v>
      </c>
      <c r="AZ25">
        <v>36</v>
      </c>
      <c r="BA25">
        <v>38.25</v>
      </c>
      <c r="BB25">
        <v>37</v>
      </c>
      <c r="BC25">
        <v>38</v>
      </c>
      <c r="BD25">
        <f>AVERAGE(rarefaction_analysis_ad_chao1[[#This Row],[depth-2145_iter-1]:[depth-2145_iter-10]])</f>
        <v>37.875</v>
      </c>
      <c r="BE25">
        <v>38</v>
      </c>
      <c r="BF25">
        <v>38</v>
      </c>
      <c r="BG25">
        <v>38.5</v>
      </c>
      <c r="BH25">
        <v>38</v>
      </c>
      <c r="BI25">
        <v>38</v>
      </c>
      <c r="BJ25">
        <v>37</v>
      </c>
      <c r="BK25">
        <v>38</v>
      </c>
      <c r="BL25">
        <v>38.25</v>
      </c>
      <c r="BM25">
        <v>37</v>
      </c>
      <c r="BN25">
        <v>37</v>
      </c>
      <c r="BO25">
        <f>AVERAGE(rarefaction_analysis_ad_chao1[[#This Row],[depth-2682_iter-1]:[depth-2682_iter-10]])</f>
        <v>37.774999999999999</v>
      </c>
      <c r="BP25">
        <v>38</v>
      </c>
      <c r="BQ25">
        <v>38</v>
      </c>
      <c r="BR25">
        <v>38</v>
      </c>
      <c r="BS25">
        <v>38</v>
      </c>
      <c r="BT25">
        <v>38</v>
      </c>
      <c r="BU25">
        <v>38</v>
      </c>
      <c r="BV25">
        <v>38</v>
      </c>
      <c r="BW25">
        <v>38</v>
      </c>
      <c r="BX25">
        <v>38</v>
      </c>
      <c r="BY25">
        <v>38</v>
      </c>
      <c r="BZ25">
        <f>AVERAGE(rarefaction_analysis_ad_chao1[[#This Row],[depth-3218_iter-1]:[depth-3218_iter-10]])</f>
        <v>38</v>
      </c>
      <c r="CA25">
        <v>38</v>
      </c>
      <c r="CB25">
        <v>38</v>
      </c>
      <c r="CC25">
        <v>38</v>
      </c>
      <c r="CD25">
        <v>38</v>
      </c>
      <c r="CE25">
        <v>38</v>
      </c>
      <c r="CF25">
        <v>38</v>
      </c>
      <c r="CG25">
        <v>38</v>
      </c>
      <c r="CH25">
        <v>38</v>
      </c>
      <c r="CI25">
        <v>38</v>
      </c>
      <c r="CJ25">
        <v>38</v>
      </c>
      <c r="CK25">
        <f>AVERAGE(rarefaction_analysis_ad_chao1[[#This Row],[depth-3754_iter-1]:[depth-3754_iter-10]])</f>
        <v>38</v>
      </c>
      <c r="CV25" t="e">
        <f>AVERAGE(rarefaction_analysis_ad_chao1[[#This Row],[depth-4290_iter-1]:[depth-4290_iter-10]])</f>
        <v>#DIV/0!</v>
      </c>
      <c r="DG25" t="e">
        <f>AVERAGE(rarefaction_analysis_ad_chao1[[#This Row],[depth-4827_iter-1]:[depth-4827_iter-10]])</f>
        <v>#DIV/0!</v>
      </c>
      <c r="DH25" t="s">
        <v>178</v>
      </c>
      <c r="DI25">
        <v>469</v>
      </c>
      <c r="DJ25" t="s">
        <v>110</v>
      </c>
      <c r="DK25" t="s">
        <v>148</v>
      </c>
      <c r="DL25" t="s">
        <v>112</v>
      </c>
      <c r="DM25" t="s">
        <v>113</v>
      </c>
      <c r="DN25" t="s">
        <v>114</v>
      </c>
    </row>
    <row r="26" spans="1:118" x14ac:dyDescent="0.35">
      <c r="A26" t="s">
        <v>157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f>AVERAGE(rarefaction_analysis_ad_chao1[[#This Row],[depth-1_iter-1]:[depth-1_iter-10]])</f>
        <v>1</v>
      </c>
      <c r="M26">
        <v>35</v>
      </c>
      <c r="N26">
        <v>46</v>
      </c>
      <c r="O26">
        <v>42</v>
      </c>
      <c r="P26">
        <v>43.333333333333336</v>
      </c>
      <c r="Q26">
        <v>41</v>
      </c>
      <c r="R26">
        <v>32</v>
      </c>
      <c r="S26">
        <v>37</v>
      </c>
      <c r="T26">
        <v>33.5</v>
      </c>
      <c r="U26">
        <v>32.5</v>
      </c>
      <c r="V26">
        <v>35.666666666666664</v>
      </c>
      <c r="W26">
        <f>AVERAGE(rarefaction_analysis_ad_chao1[[#This Row],[depth-537_iter-1]:[depth-537_iter-10]])</f>
        <v>37.800000000000004</v>
      </c>
      <c r="X26">
        <v>39.5</v>
      </c>
      <c r="Y26">
        <v>42</v>
      </c>
      <c r="Z26">
        <v>39.5</v>
      </c>
      <c r="AA26">
        <v>37.75</v>
      </c>
      <c r="AB26">
        <v>35</v>
      </c>
      <c r="AC26">
        <v>38.666666666666657</v>
      </c>
      <c r="AD26">
        <v>39.142857142857146</v>
      </c>
      <c r="AE26">
        <v>38</v>
      </c>
      <c r="AF26">
        <v>39.857142857142847</v>
      </c>
      <c r="AG26">
        <v>37</v>
      </c>
      <c r="AH26">
        <f>AVERAGE(rarefaction_analysis_ad_chao1[[#This Row],[depth-1073_iter-1]:[depth-1073_iter-10]])</f>
        <v>38.641666666666666</v>
      </c>
      <c r="AI26">
        <v>38</v>
      </c>
      <c r="AJ26">
        <v>44</v>
      </c>
      <c r="AK26">
        <v>39</v>
      </c>
      <c r="AL26">
        <v>54</v>
      </c>
      <c r="AM26">
        <v>39.25</v>
      </c>
      <c r="AN26">
        <v>38.333333333333336</v>
      </c>
      <c r="AO26">
        <v>40</v>
      </c>
      <c r="AP26">
        <v>37</v>
      </c>
      <c r="AQ26">
        <v>38.25</v>
      </c>
      <c r="AR26">
        <v>37</v>
      </c>
      <c r="AS26">
        <f>AVERAGE(rarefaction_analysis_ad_chao1[[#This Row],[depth-1609_iter-1]:[depth-1609_iter-10]])</f>
        <v>40.483333333333334</v>
      </c>
      <c r="AT26">
        <v>39.25</v>
      </c>
      <c r="AU26">
        <v>39</v>
      </c>
      <c r="AV26">
        <v>39.75</v>
      </c>
      <c r="AW26">
        <v>40</v>
      </c>
      <c r="AX26">
        <v>37</v>
      </c>
      <c r="AY26">
        <v>39</v>
      </c>
      <c r="AZ26">
        <v>37</v>
      </c>
      <c r="BA26">
        <v>41</v>
      </c>
      <c r="BB26">
        <v>39</v>
      </c>
      <c r="BC26">
        <v>39.200000000000003</v>
      </c>
      <c r="BD26">
        <f>AVERAGE(rarefaction_analysis_ad_chao1[[#This Row],[depth-2145_iter-1]:[depth-2145_iter-10]])</f>
        <v>39.019999999999996</v>
      </c>
      <c r="BE26">
        <v>39.333333333333336</v>
      </c>
      <c r="BF26">
        <v>39</v>
      </c>
      <c r="BG26">
        <v>39</v>
      </c>
      <c r="BH26">
        <v>38</v>
      </c>
      <c r="BI26">
        <v>42</v>
      </c>
      <c r="BJ26">
        <v>39</v>
      </c>
      <c r="BK26">
        <v>39</v>
      </c>
      <c r="BL26">
        <v>39</v>
      </c>
      <c r="BM26">
        <v>39</v>
      </c>
      <c r="BN26">
        <v>39.333333333333336</v>
      </c>
      <c r="BO26">
        <f>AVERAGE(rarefaction_analysis_ad_chao1[[#This Row],[depth-2682_iter-1]:[depth-2682_iter-10]])</f>
        <v>39.266666666666666</v>
      </c>
      <c r="BP26">
        <v>39</v>
      </c>
      <c r="BQ26">
        <v>39</v>
      </c>
      <c r="BR26">
        <v>39</v>
      </c>
      <c r="BS26">
        <v>39</v>
      </c>
      <c r="BT26">
        <v>39</v>
      </c>
      <c r="BU26">
        <v>39</v>
      </c>
      <c r="BV26">
        <v>39</v>
      </c>
      <c r="BW26">
        <v>39</v>
      </c>
      <c r="BX26">
        <v>39</v>
      </c>
      <c r="BY26">
        <v>39</v>
      </c>
      <c r="BZ26">
        <f>AVERAGE(rarefaction_analysis_ad_chao1[[#This Row],[depth-3218_iter-1]:[depth-3218_iter-10]])</f>
        <v>39</v>
      </c>
      <c r="CK26" t="e">
        <f>AVERAGE(rarefaction_analysis_ad_chao1[[#This Row],[depth-3754_iter-1]:[depth-3754_iter-10]])</f>
        <v>#DIV/0!</v>
      </c>
      <c r="CV26" t="e">
        <f>AVERAGE(rarefaction_analysis_ad_chao1[[#This Row],[depth-4290_iter-1]:[depth-4290_iter-10]])</f>
        <v>#DIV/0!</v>
      </c>
      <c r="DG26" t="e">
        <f>AVERAGE(rarefaction_analysis_ad_chao1[[#This Row],[depth-4827_iter-1]:[depth-4827_iter-10]])</f>
        <v>#DIV/0!</v>
      </c>
      <c r="DH26" t="s">
        <v>158</v>
      </c>
      <c r="DI26">
        <v>536</v>
      </c>
      <c r="DJ26" t="s">
        <v>117</v>
      </c>
      <c r="DK26" t="s">
        <v>159</v>
      </c>
      <c r="DL26" t="s">
        <v>160</v>
      </c>
      <c r="DM26" t="s">
        <v>161</v>
      </c>
      <c r="DN26" t="s">
        <v>162</v>
      </c>
    </row>
    <row r="27" spans="1:118" x14ac:dyDescent="0.35">
      <c r="A27" t="s">
        <v>165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f>AVERAGE(rarefaction_analysis_ad_chao1[[#This Row],[depth-1_iter-1]:[depth-1_iter-10]])</f>
        <v>1</v>
      </c>
      <c r="M27">
        <v>32.111111111111114</v>
      </c>
      <c r="N27">
        <v>31.857142857142858</v>
      </c>
      <c r="O27">
        <v>39</v>
      </c>
      <c r="P27">
        <v>48</v>
      </c>
      <c r="Q27">
        <v>34.200000000000003</v>
      </c>
      <c r="R27">
        <v>37.5</v>
      </c>
      <c r="S27">
        <v>39.200000000000003</v>
      </c>
      <c r="T27">
        <v>34.428571428571431</v>
      </c>
      <c r="U27">
        <v>38.6</v>
      </c>
      <c r="V27">
        <v>36.111111111111121</v>
      </c>
      <c r="W27">
        <f>AVERAGE(rarefaction_analysis_ad_chao1[[#This Row],[depth-537_iter-1]:[depth-537_iter-10]])</f>
        <v>37.100793650793655</v>
      </c>
      <c r="X27">
        <v>35.857142857142854</v>
      </c>
      <c r="Y27">
        <v>39</v>
      </c>
      <c r="Z27">
        <v>37</v>
      </c>
      <c r="AA27">
        <v>45</v>
      </c>
      <c r="AB27">
        <v>38.75</v>
      </c>
      <c r="AC27">
        <v>36.375</v>
      </c>
      <c r="AD27">
        <v>39</v>
      </c>
      <c r="AE27">
        <v>39.666666666666657</v>
      </c>
      <c r="AF27">
        <v>37.5</v>
      </c>
      <c r="AG27">
        <v>48</v>
      </c>
      <c r="AH27">
        <f>AVERAGE(rarefaction_analysis_ad_chao1[[#This Row],[depth-1073_iter-1]:[depth-1073_iter-10]])</f>
        <v>39.61488095238095</v>
      </c>
      <c r="AI27">
        <v>39.5</v>
      </c>
      <c r="AJ27">
        <v>38.166666666666657</v>
      </c>
      <c r="AK27">
        <v>39.166666666666657</v>
      </c>
      <c r="AL27">
        <v>39</v>
      </c>
      <c r="AM27">
        <v>40</v>
      </c>
      <c r="AN27">
        <v>45.5</v>
      </c>
      <c r="AO27">
        <v>37.75</v>
      </c>
      <c r="AP27">
        <v>39.75</v>
      </c>
      <c r="AQ27">
        <v>40.5</v>
      </c>
      <c r="AR27">
        <v>40.5</v>
      </c>
      <c r="AS27">
        <f>AVERAGE(rarefaction_analysis_ad_chao1[[#This Row],[depth-1609_iter-1]:[depth-1609_iter-10]])</f>
        <v>39.983333333333334</v>
      </c>
      <c r="AT27">
        <v>40.6</v>
      </c>
      <c r="AU27">
        <v>40.200000000000003</v>
      </c>
      <c r="AV27">
        <v>38</v>
      </c>
      <c r="AW27">
        <v>40.200000000000003</v>
      </c>
      <c r="AX27">
        <v>41</v>
      </c>
      <c r="AY27">
        <v>42</v>
      </c>
      <c r="AZ27">
        <v>39.200000000000003</v>
      </c>
      <c r="BA27">
        <v>40.25</v>
      </c>
      <c r="BB27">
        <v>39.5</v>
      </c>
      <c r="BC27">
        <v>39.333333333333336</v>
      </c>
      <c r="BD27">
        <f>AVERAGE(rarefaction_analysis_ad_chao1[[#This Row],[depth-2145_iter-1]:[depth-2145_iter-10]])</f>
        <v>40.028333333333329</v>
      </c>
      <c r="BE27">
        <v>40</v>
      </c>
      <c r="BF27">
        <v>40</v>
      </c>
      <c r="BG27">
        <v>40</v>
      </c>
      <c r="BH27">
        <v>40</v>
      </c>
      <c r="BI27">
        <v>39</v>
      </c>
      <c r="BJ27">
        <v>40.25</v>
      </c>
      <c r="BK27">
        <v>40.25</v>
      </c>
      <c r="BL27">
        <v>42</v>
      </c>
      <c r="BM27">
        <v>40</v>
      </c>
      <c r="BN27">
        <v>39.200000000000003</v>
      </c>
      <c r="BO27">
        <f>AVERAGE(rarefaction_analysis_ad_chao1[[#This Row],[depth-2682_iter-1]:[depth-2682_iter-10]])</f>
        <v>40.07</v>
      </c>
      <c r="BP27">
        <v>40</v>
      </c>
      <c r="BQ27">
        <v>40</v>
      </c>
      <c r="BR27">
        <v>40</v>
      </c>
      <c r="BS27">
        <v>40</v>
      </c>
      <c r="BT27">
        <v>40</v>
      </c>
      <c r="BU27">
        <v>40</v>
      </c>
      <c r="BV27">
        <v>40</v>
      </c>
      <c r="BW27">
        <v>40</v>
      </c>
      <c r="BX27">
        <v>40</v>
      </c>
      <c r="BY27">
        <v>40</v>
      </c>
      <c r="BZ27">
        <f>AVERAGE(rarefaction_analysis_ad_chao1[[#This Row],[depth-3218_iter-1]:[depth-3218_iter-10]])</f>
        <v>40</v>
      </c>
      <c r="CK27" t="e">
        <f>AVERAGE(rarefaction_analysis_ad_chao1[[#This Row],[depth-3754_iter-1]:[depth-3754_iter-10]])</f>
        <v>#DIV/0!</v>
      </c>
      <c r="CV27" t="e">
        <f>AVERAGE(rarefaction_analysis_ad_chao1[[#This Row],[depth-4290_iter-1]:[depth-4290_iter-10]])</f>
        <v>#DIV/0!</v>
      </c>
      <c r="DG27" t="e">
        <f>AVERAGE(rarefaction_analysis_ad_chao1[[#This Row],[depth-4827_iter-1]:[depth-4827_iter-10]])</f>
        <v>#DIV/0!</v>
      </c>
      <c r="DH27" t="s">
        <v>166</v>
      </c>
      <c r="DI27">
        <v>536</v>
      </c>
      <c r="DJ27" t="s">
        <v>117</v>
      </c>
      <c r="DK27" t="s">
        <v>159</v>
      </c>
      <c r="DL27" t="s">
        <v>160</v>
      </c>
      <c r="DM27" t="s">
        <v>161</v>
      </c>
      <c r="DN27" t="s">
        <v>162</v>
      </c>
    </row>
    <row r="28" spans="1:118" x14ac:dyDescent="0.35">
      <c r="A28" t="s">
        <v>179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f>AVERAGE(rarefaction_analysis_ad_chao1[[#This Row],[depth-1_iter-1]:[depth-1_iter-10]])</f>
        <v>1</v>
      </c>
      <c r="M28">
        <v>31</v>
      </c>
      <c r="N28">
        <v>34.75</v>
      </c>
      <c r="O28">
        <v>33</v>
      </c>
      <c r="P28">
        <v>32.375</v>
      </c>
      <c r="Q28">
        <v>32.200000000000003</v>
      </c>
      <c r="R28">
        <v>33.666666666666664</v>
      </c>
      <c r="S28">
        <v>31</v>
      </c>
      <c r="T28">
        <v>38</v>
      </c>
      <c r="U28">
        <v>33.200000000000003</v>
      </c>
      <c r="V28">
        <v>31.666666666666668</v>
      </c>
      <c r="W28">
        <f>AVERAGE(rarefaction_analysis_ad_chao1[[#This Row],[depth-537_iter-1]:[depth-537_iter-10]])</f>
        <v>33.085833333333333</v>
      </c>
      <c r="X28">
        <v>35</v>
      </c>
      <c r="Y28">
        <v>35.200000000000003</v>
      </c>
      <c r="Z28">
        <v>35</v>
      </c>
      <c r="AA28">
        <v>35.6</v>
      </c>
      <c r="AB28">
        <v>33.5</v>
      </c>
      <c r="AC28">
        <v>35.333333333333336</v>
      </c>
      <c r="AD28">
        <v>33</v>
      </c>
      <c r="AE28">
        <v>35.5</v>
      </c>
      <c r="AF28">
        <v>37</v>
      </c>
      <c r="AG28">
        <v>34.200000000000003</v>
      </c>
      <c r="AH28">
        <f>AVERAGE(rarefaction_analysis_ad_chao1[[#This Row],[depth-1073_iter-1]:[depth-1073_iter-10]])</f>
        <v>34.93333333333333</v>
      </c>
      <c r="AI28">
        <v>35</v>
      </c>
      <c r="AJ28">
        <v>35</v>
      </c>
      <c r="AK28">
        <v>38</v>
      </c>
      <c r="AL28">
        <v>37.5</v>
      </c>
      <c r="AM28">
        <v>36</v>
      </c>
      <c r="AN28">
        <v>35.333333333333336</v>
      </c>
      <c r="AO28">
        <v>35.5</v>
      </c>
      <c r="AP28">
        <v>36.25</v>
      </c>
      <c r="AQ28">
        <v>35</v>
      </c>
      <c r="AR28">
        <v>36</v>
      </c>
      <c r="AS28">
        <f>AVERAGE(rarefaction_analysis_ad_chao1[[#This Row],[depth-1609_iter-1]:[depth-1609_iter-10]])</f>
        <v>35.958333333333336</v>
      </c>
      <c r="AT28">
        <v>36</v>
      </c>
      <c r="AU28">
        <v>36</v>
      </c>
      <c r="AV28">
        <v>35.5</v>
      </c>
      <c r="AW28">
        <v>36</v>
      </c>
      <c r="AX28">
        <v>36</v>
      </c>
      <c r="AY28">
        <v>36</v>
      </c>
      <c r="AZ28">
        <v>36</v>
      </c>
      <c r="BA28">
        <v>36</v>
      </c>
      <c r="BB28">
        <v>36</v>
      </c>
      <c r="BC28">
        <v>36</v>
      </c>
      <c r="BD28">
        <f>AVERAGE(rarefaction_analysis_ad_chao1[[#This Row],[depth-2145_iter-1]:[depth-2145_iter-10]])</f>
        <v>35.950000000000003</v>
      </c>
      <c r="BE28">
        <v>36</v>
      </c>
      <c r="BF28">
        <v>36</v>
      </c>
      <c r="BG28">
        <v>36</v>
      </c>
      <c r="BH28">
        <v>36</v>
      </c>
      <c r="BI28">
        <v>36</v>
      </c>
      <c r="BJ28">
        <v>36</v>
      </c>
      <c r="BK28">
        <v>36</v>
      </c>
      <c r="BL28">
        <v>36</v>
      </c>
      <c r="BM28">
        <v>36</v>
      </c>
      <c r="BN28">
        <v>36</v>
      </c>
      <c r="BO28">
        <f>AVERAGE(rarefaction_analysis_ad_chao1[[#This Row],[depth-2682_iter-1]:[depth-2682_iter-10]])</f>
        <v>36</v>
      </c>
      <c r="BP28">
        <v>36</v>
      </c>
      <c r="BQ28">
        <v>36</v>
      </c>
      <c r="BR28">
        <v>36</v>
      </c>
      <c r="BS28">
        <v>36</v>
      </c>
      <c r="BT28">
        <v>36</v>
      </c>
      <c r="BU28">
        <v>36</v>
      </c>
      <c r="BV28">
        <v>36</v>
      </c>
      <c r="BW28">
        <v>36</v>
      </c>
      <c r="BX28">
        <v>36</v>
      </c>
      <c r="BY28">
        <v>36</v>
      </c>
      <c r="BZ28">
        <f>AVERAGE(rarefaction_analysis_ad_chao1[[#This Row],[depth-3218_iter-1]:[depth-3218_iter-10]])</f>
        <v>36</v>
      </c>
      <c r="CA28">
        <v>36</v>
      </c>
      <c r="CB28">
        <v>36</v>
      </c>
      <c r="CC28">
        <v>36</v>
      </c>
      <c r="CD28">
        <v>36</v>
      </c>
      <c r="CE28">
        <v>36</v>
      </c>
      <c r="CF28">
        <v>36</v>
      </c>
      <c r="CG28">
        <v>36</v>
      </c>
      <c r="CH28">
        <v>36</v>
      </c>
      <c r="CI28">
        <v>36</v>
      </c>
      <c r="CJ28">
        <v>36</v>
      </c>
      <c r="CK28">
        <f>AVERAGE(rarefaction_analysis_ad_chao1[[#This Row],[depth-3754_iter-1]:[depth-3754_iter-10]])</f>
        <v>36</v>
      </c>
      <c r="CL28">
        <v>36</v>
      </c>
      <c r="CM28">
        <v>36</v>
      </c>
      <c r="CN28">
        <v>36</v>
      </c>
      <c r="CO28">
        <v>36</v>
      </c>
      <c r="CP28">
        <v>36</v>
      </c>
      <c r="CQ28">
        <v>36</v>
      </c>
      <c r="CR28">
        <v>36</v>
      </c>
      <c r="CS28">
        <v>36</v>
      </c>
      <c r="CT28">
        <v>36</v>
      </c>
      <c r="CU28">
        <v>36</v>
      </c>
      <c r="CV28">
        <f>AVERAGE(rarefaction_analysis_ad_chao1[[#This Row],[depth-4290_iter-1]:[depth-4290_iter-10]])</f>
        <v>36</v>
      </c>
      <c r="DG28" t="e">
        <f>AVERAGE(rarefaction_analysis_ad_chao1[[#This Row],[depth-4827_iter-1]:[depth-4827_iter-10]])</f>
        <v>#DIV/0!</v>
      </c>
      <c r="DH28" t="s">
        <v>180</v>
      </c>
      <c r="DI28">
        <v>536</v>
      </c>
      <c r="DJ28" t="s">
        <v>117</v>
      </c>
      <c r="DK28" t="s">
        <v>159</v>
      </c>
      <c r="DL28" t="s">
        <v>160</v>
      </c>
      <c r="DM28" t="s">
        <v>161</v>
      </c>
      <c r="DN28" t="s">
        <v>162</v>
      </c>
    </row>
    <row r="29" spans="1:118" x14ac:dyDescent="0.35">
      <c r="A29" t="s">
        <v>183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f>AVERAGE(rarefaction_analysis_ad_chao1[[#This Row],[depth-1_iter-1]:[depth-1_iter-10]])</f>
        <v>1</v>
      </c>
      <c r="M29">
        <v>27.666666666666668</v>
      </c>
      <c r="N29">
        <v>31.666666666666668</v>
      </c>
      <c r="O29">
        <v>27.90909090909091</v>
      </c>
      <c r="P29">
        <v>28.666666666666668</v>
      </c>
      <c r="Q29">
        <v>27</v>
      </c>
      <c r="R29">
        <v>33</v>
      </c>
      <c r="S29">
        <v>32.25</v>
      </c>
      <c r="T29">
        <v>28.666666666666668</v>
      </c>
      <c r="U29">
        <v>24.6</v>
      </c>
      <c r="V29">
        <v>33</v>
      </c>
      <c r="W29">
        <f>AVERAGE(rarefaction_analysis_ad_chao1[[#This Row],[depth-537_iter-1]:[depth-537_iter-10]])</f>
        <v>29.44257575757576</v>
      </c>
      <c r="X29">
        <v>32.5</v>
      </c>
      <c r="Y29">
        <v>30</v>
      </c>
      <c r="Z29">
        <v>30</v>
      </c>
      <c r="AA29">
        <v>33.333333333333336</v>
      </c>
      <c r="AB29">
        <v>28.6</v>
      </c>
      <c r="AC29">
        <v>30.333333333333329</v>
      </c>
      <c r="AD29">
        <v>31</v>
      </c>
      <c r="AE29">
        <v>30.75</v>
      </c>
      <c r="AF29">
        <v>32.5</v>
      </c>
      <c r="AG29">
        <v>28</v>
      </c>
      <c r="AH29">
        <f>AVERAGE(rarefaction_analysis_ad_chao1[[#This Row],[depth-1073_iter-1]:[depth-1073_iter-10]])</f>
        <v>30.701666666666664</v>
      </c>
      <c r="AI29">
        <v>30</v>
      </c>
      <c r="AJ29">
        <v>31</v>
      </c>
      <c r="AK29">
        <v>29</v>
      </c>
      <c r="AL29">
        <v>31</v>
      </c>
      <c r="AM29">
        <v>31</v>
      </c>
      <c r="AN29">
        <v>31.25</v>
      </c>
      <c r="AO29">
        <v>30</v>
      </c>
      <c r="AP29">
        <v>32.5</v>
      </c>
      <c r="AQ29">
        <v>31.333333333333329</v>
      </c>
      <c r="AR29">
        <v>30</v>
      </c>
      <c r="AS29">
        <f>AVERAGE(rarefaction_analysis_ad_chao1[[#This Row],[depth-1609_iter-1]:[depth-1609_iter-10]])</f>
        <v>30.708333333333332</v>
      </c>
      <c r="AT29">
        <v>31.333333333333329</v>
      </c>
      <c r="AU29">
        <v>31.333333333333329</v>
      </c>
      <c r="AV29">
        <v>32</v>
      </c>
      <c r="AW29">
        <v>31</v>
      </c>
      <c r="AX29">
        <v>30</v>
      </c>
      <c r="AY29">
        <v>31</v>
      </c>
      <c r="AZ29">
        <v>31</v>
      </c>
      <c r="BA29">
        <v>30</v>
      </c>
      <c r="BB29">
        <v>30</v>
      </c>
      <c r="BC29">
        <v>31.333333333333329</v>
      </c>
      <c r="BD29">
        <f>AVERAGE(rarefaction_analysis_ad_chao1[[#This Row],[depth-2145_iter-1]:[depth-2145_iter-10]])</f>
        <v>30.899999999999995</v>
      </c>
      <c r="BE29">
        <v>31.5</v>
      </c>
      <c r="BF29">
        <v>31</v>
      </c>
      <c r="BG29">
        <v>31</v>
      </c>
      <c r="BH29">
        <v>31</v>
      </c>
      <c r="BI29">
        <v>31</v>
      </c>
      <c r="BJ29">
        <v>31</v>
      </c>
      <c r="BK29">
        <v>31</v>
      </c>
      <c r="BL29">
        <v>31</v>
      </c>
      <c r="BM29">
        <v>31</v>
      </c>
      <c r="BN29">
        <v>31</v>
      </c>
      <c r="BO29">
        <f>AVERAGE(rarefaction_analysis_ad_chao1[[#This Row],[depth-2682_iter-1]:[depth-2682_iter-10]])</f>
        <v>31.05</v>
      </c>
      <c r="BP29">
        <v>31</v>
      </c>
      <c r="BQ29">
        <v>31</v>
      </c>
      <c r="BR29">
        <v>31</v>
      </c>
      <c r="BS29">
        <v>31</v>
      </c>
      <c r="BT29">
        <v>31</v>
      </c>
      <c r="BU29">
        <v>31</v>
      </c>
      <c r="BV29">
        <v>31</v>
      </c>
      <c r="BW29">
        <v>31</v>
      </c>
      <c r="BX29">
        <v>31</v>
      </c>
      <c r="BY29">
        <v>31</v>
      </c>
      <c r="BZ29">
        <f>AVERAGE(rarefaction_analysis_ad_chao1[[#This Row],[depth-3218_iter-1]:[depth-3218_iter-10]])</f>
        <v>31</v>
      </c>
      <c r="CA29">
        <v>31</v>
      </c>
      <c r="CB29">
        <v>31</v>
      </c>
      <c r="CC29">
        <v>31</v>
      </c>
      <c r="CD29">
        <v>31</v>
      </c>
      <c r="CE29">
        <v>31</v>
      </c>
      <c r="CF29">
        <v>31</v>
      </c>
      <c r="CG29">
        <v>31</v>
      </c>
      <c r="CH29">
        <v>31</v>
      </c>
      <c r="CI29">
        <v>31</v>
      </c>
      <c r="CJ29">
        <v>31</v>
      </c>
      <c r="CK29">
        <f>AVERAGE(rarefaction_analysis_ad_chao1[[#This Row],[depth-3754_iter-1]:[depth-3754_iter-10]])</f>
        <v>31</v>
      </c>
      <c r="CV29" t="e">
        <f>AVERAGE(rarefaction_analysis_ad_chao1[[#This Row],[depth-4290_iter-1]:[depth-4290_iter-10]])</f>
        <v>#DIV/0!</v>
      </c>
      <c r="DG29" t="e">
        <f>AVERAGE(rarefaction_analysis_ad_chao1[[#This Row],[depth-4827_iter-1]:[depth-4827_iter-10]])</f>
        <v>#DIV/0!</v>
      </c>
      <c r="DH29" t="s">
        <v>184</v>
      </c>
      <c r="DI29">
        <v>539</v>
      </c>
      <c r="DJ29" t="s">
        <v>117</v>
      </c>
      <c r="DK29" t="s">
        <v>176</v>
      </c>
      <c r="DL29" t="s">
        <v>160</v>
      </c>
      <c r="DM29" t="s">
        <v>161</v>
      </c>
      <c r="DN29" t="s">
        <v>162</v>
      </c>
    </row>
    <row r="30" spans="1:118" x14ac:dyDescent="0.35">
      <c r="A30" t="s">
        <v>185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f>AVERAGE(rarefaction_analysis_ad_chao1[[#This Row],[depth-1_iter-1]:[depth-1_iter-10]])</f>
        <v>1</v>
      </c>
      <c r="M30">
        <v>38.666666666666657</v>
      </c>
      <c r="N30">
        <v>40.5</v>
      </c>
      <c r="O30">
        <v>45.428571428571431</v>
      </c>
      <c r="P30">
        <v>35</v>
      </c>
      <c r="Q30">
        <v>36.875</v>
      </c>
      <c r="R30">
        <v>39.428571428571431</v>
      </c>
      <c r="S30">
        <v>52</v>
      </c>
      <c r="T30">
        <v>39</v>
      </c>
      <c r="U30">
        <v>38.200000000000003</v>
      </c>
      <c r="V30">
        <v>46.5</v>
      </c>
      <c r="W30">
        <f>AVERAGE(rarefaction_analysis_ad_chao1[[#This Row],[depth-537_iter-1]:[depth-537_iter-10]])</f>
        <v>41.159880952380952</v>
      </c>
      <c r="X30">
        <v>45</v>
      </c>
      <c r="Y30">
        <v>51</v>
      </c>
      <c r="Z30">
        <v>43.111111111111121</v>
      </c>
      <c r="AA30">
        <v>42.857142857142847</v>
      </c>
      <c r="AB30">
        <v>42.333333333333336</v>
      </c>
      <c r="AC30">
        <v>42</v>
      </c>
      <c r="AD30">
        <v>44</v>
      </c>
      <c r="AE30">
        <v>48.2</v>
      </c>
      <c r="AF30">
        <v>41</v>
      </c>
      <c r="AG30">
        <v>43.666666666666657</v>
      </c>
      <c r="AH30">
        <f>AVERAGE(rarefaction_analysis_ad_chao1[[#This Row],[depth-1073_iter-1]:[depth-1073_iter-10]])</f>
        <v>44.316825396825401</v>
      </c>
      <c r="AI30">
        <v>42.333333333333336</v>
      </c>
      <c r="AJ30">
        <v>45.25</v>
      </c>
      <c r="AK30">
        <v>45</v>
      </c>
      <c r="AL30">
        <v>44</v>
      </c>
      <c r="AM30">
        <v>47</v>
      </c>
      <c r="AN30">
        <v>44.5</v>
      </c>
      <c r="AO30">
        <v>43.5</v>
      </c>
      <c r="AP30">
        <v>42</v>
      </c>
      <c r="AQ30">
        <v>45.6</v>
      </c>
      <c r="AR30">
        <v>44</v>
      </c>
      <c r="AS30">
        <f>AVERAGE(rarefaction_analysis_ad_chao1[[#This Row],[depth-1609_iter-1]:[depth-1609_iter-10]])</f>
        <v>44.318333333333342</v>
      </c>
      <c r="AT30">
        <v>47</v>
      </c>
      <c r="AU30">
        <v>45</v>
      </c>
      <c r="AV30">
        <v>43</v>
      </c>
      <c r="AW30">
        <v>50</v>
      </c>
      <c r="AX30">
        <v>45</v>
      </c>
      <c r="AY30">
        <v>46.5</v>
      </c>
      <c r="AZ30">
        <v>44</v>
      </c>
      <c r="BA30">
        <v>48</v>
      </c>
      <c r="BB30">
        <v>47</v>
      </c>
      <c r="BC30">
        <v>47.5</v>
      </c>
      <c r="BD30">
        <f>AVERAGE(rarefaction_analysis_ad_chao1[[#This Row],[depth-2145_iter-1]:[depth-2145_iter-10]])</f>
        <v>46.3</v>
      </c>
      <c r="BE30">
        <v>45.333333333333336</v>
      </c>
      <c r="BF30">
        <v>46.25</v>
      </c>
      <c r="BG30">
        <v>45</v>
      </c>
      <c r="BH30">
        <v>47.5</v>
      </c>
      <c r="BI30">
        <v>45</v>
      </c>
      <c r="BJ30">
        <v>48</v>
      </c>
      <c r="BK30">
        <v>45</v>
      </c>
      <c r="BL30">
        <v>45</v>
      </c>
      <c r="BM30">
        <v>45</v>
      </c>
      <c r="BN30">
        <v>47</v>
      </c>
      <c r="BO30">
        <f>AVERAGE(rarefaction_analysis_ad_chao1[[#This Row],[depth-2682_iter-1]:[depth-2682_iter-10]])</f>
        <v>45.908333333333339</v>
      </c>
      <c r="BP30">
        <v>46</v>
      </c>
      <c r="BQ30">
        <v>49</v>
      </c>
      <c r="BR30">
        <v>46.5</v>
      </c>
      <c r="BS30">
        <v>45</v>
      </c>
      <c r="BT30">
        <v>46</v>
      </c>
      <c r="BU30">
        <v>45</v>
      </c>
      <c r="BV30">
        <v>46</v>
      </c>
      <c r="BW30">
        <v>45</v>
      </c>
      <c r="BX30">
        <v>46</v>
      </c>
      <c r="BY30">
        <v>46.333333333333336</v>
      </c>
      <c r="BZ30">
        <f>AVERAGE(rarefaction_analysis_ad_chao1[[#This Row],[depth-3218_iter-1]:[depth-3218_iter-10]])</f>
        <v>46.083333333333329</v>
      </c>
      <c r="CA30">
        <v>46</v>
      </c>
      <c r="CB30">
        <v>46</v>
      </c>
      <c r="CC30">
        <v>47.5</v>
      </c>
      <c r="CD30">
        <v>46</v>
      </c>
      <c r="CE30">
        <v>47</v>
      </c>
      <c r="CF30">
        <v>46</v>
      </c>
      <c r="CG30">
        <v>46</v>
      </c>
      <c r="CH30">
        <v>46</v>
      </c>
      <c r="CI30">
        <v>45</v>
      </c>
      <c r="CJ30">
        <v>46.5</v>
      </c>
      <c r="CK30">
        <f>AVERAGE(rarefaction_analysis_ad_chao1[[#This Row],[depth-3754_iter-1]:[depth-3754_iter-10]])</f>
        <v>46.2</v>
      </c>
      <c r="CL30">
        <v>46</v>
      </c>
      <c r="CM30">
        <v>46</v>
      </c>
      <c r="CN30">
        <v>46</v>
      </c>
      <c r="CO30">
        <v>46</v>
      </c>
      <c r="CP30">
        <v>46</v>
      </c>
      <c r="CQ30">
        <v>46</v>
      </c>
      <c r="CR30">
        <v>46</v>
      </c>
      <c r="CS30">
        <v>46</v>
      </c>
      <c r="CT30">
        <v>46</v>
      </c>
      <c r="CU30">
        <v>46</v>
      </c>
      <c r="CV30">
        <f>AVERAGE(rarefaction_analysis_ad_chao1[[#This Row],[depth-4290_iter-1]:[depth-4290_iter-10]])</f>
        <v>46</v>
      </c>
      <c r="CW30">
        <v>46</v>
      </c>
      <c r="CX30">
        <v>46</v>
      </c>
      <c r="CY30">
        <v>46</v>
      </c>
      <c r="CZ30">
        <v>46</v>
      </c>
      <c r="DA30">
        <v>46</v>
      </c>
      <c r="DB30">
        <v>46</v>
      </c>
      <c r="DC30">
        <v>46</v>
      </c>
      <c r="DD30">
        <v>46</v>
      </c>
      <c r="DE30">
        <v>46</v>
      </c>
      <c r="DF30">
        <v>46</v>
      </c>
      <c r="DG30">
        <f>AVERAGE(rarefaction_analysis_ad_chao1[[#This Row],[depth-4827_iter-1]:[depth-4827_iter-10]])</f>
        <v>46</v>
      </c>
      <c r="DH30" t="s">
        <v>186</v>
      </c>
      <c r="DI30">
        <v>536</v>
      </c>
      <c r="DJ30" t="s">
        <v>117</v>
      </c>
      <c r="DK30" t="s">
        <v>159</v>
      </c>
      <c r="DL30" t="s">
        <v>160</v>
      </c>
      <c r="DM30" t="s">
        <v>161</v>
      </c>
      <c r="DN30" t="s">
        <v>162</v>
      </c>
    </row>
    <row r="31" spans="1:118" x14ac:dyDescent="0.35">
      <c r="A31" t="s">
        <v>189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f>AVERAGE(rarefaction_analysis_ad_chao1[[#This Row],[depth-1_iter-1]:[depth-1_iter-10]])</f>
        <v>1</v>
      </c>
      <c r="M31">
        <v>24.75</v>
      </c>
      <c r="N31">
        <v>32.6</v>
      </c>
      <c r="O31">
        <v>35.5</v>
      </c>
      <c r="P31">
        <v>29.2</v>
      </c>
      <c r="Q31">
        <v>24.5</v>
      </c>
      <c r="R31">
        <v>31</v>
      </c>
      <c r="S31">
        <v>25.5</v>
      </c>
      <c r="T31">
        <v>29.142857142857142</v>
      </c>
      <c r="U31">
        <v>31</v>
      </c>
      <c r="V31">
        <v>27</v>
      </c>
      <c r="W31">
        <f>AVERAGE(rarefaction_analysis_ad_chao1[[#This Row],[depth-537_iter-1]:[depth-537_iter-10]])</f>
        <v>29.019285714285719</v>
      </c>
      <c r="X31">
        <v>27</v>
      </c>
      <c r="Y31">
        <v>28</v>
      </c>
      <c r="Z31">
        <v>29.5</v>
      </c>
      <c r="AA31">
        <v>29.5</v>
      </c>
      <c r="AB31">
        <v>32</v>
      </c>
      <c r="AC31">
        <v>26</v>
      </c>
      <c r="AD31">
        <v>30</v>
      </c>
      <c r="AE31">
        <v>29.6</v>
      </c>
      <c r="AF31">
        <v>29.2</v>
      </c>
      <c r="AG31">
        <v>29.5</v>
      </c>
      <c r="AH31">
        <f>AVERAGE(rarefaction_analysis_ad_chao1[[#This Row],[depth-1073_iter-1]:[depth-1073_iter-10]])</f>
        <v>29.03</v>
      </c>
      <c r="AI31">
        <v>30.75</v>
      </c>
      <c r="AJ31">
        <v>29.166666666666668</v>
      </c>
      <c r="AK31">
        <v>29.25</v>
      </c>
      <c r="AL31">
        <v>28</v>
      </c>
      <c r="AM31">
        <v>30.25</v>
      </c>
      <c r="AN31">
        <v>29</v>
      </c>
      <c r="AO31">
        <v>28</v>
      </c>
      <c r="AP31">
        <v>28</v>
      </c>
      <c r="AQ31">
        <v>34</v>
      </c>
      <c r="AR31">
        <v>28</v>
      </c>
      <c r="AS31">
        <f>AVERAGE(rarefaction_analysis_ad_chao1[[#This Row],[depth-1609_iter-1]:[depth-1609_iter-10]])</f>
        <v>29.44166666666667</v>
      </c>
      <c r="AT31">
        <v>29</v>
      </c>
      <c r="AU31">
        <v>30.333333333333329</v>
      </c>
      <c r="AV31">
        <v>31.5</v>
      </c>
      <c r="AW31">
        <v>30</v>
      </c>
      <c r="AX31">
        <v>30.75</v>
      </c>
      <c r="AY31">
        <v>30</v>
      </c>
      <c r="AZ31">
        <v>30</v>
      </c>
      <c r="BA31">
        <v>29</v>
      </c>
      <c r="BB31">
        <v>30</v>
      </c>
      <c r="BC31">
        <v>31</v>
      </c>
      <c r="BD31">
        <f>AVERAGE(rarefaction_analysis_ad_chao1[[#This Row],[depth-2145_iter-1]:[depth-2145_iter-10]])</f>
        <v>30.158333333333331</v>
      </c>
      <c r="BE31">
        <v>29</v>
      </c>
      <c r="BF31">
        <v>30</v>
      </c>
      <c r="BG31">
        <v>30</v>
      </c>
      <c r="BH31">
        <v>30</v>
      </c>
      <c r="BI31">
        <v>30</v>
      </c>
      <c r="BJ31">
        <v>30</v>
      </c>
      <c r="BK31">
        <v>30</v>
      </c>
      <c r="BL31">
        <v>29</v>
      </c>
      <c r="BM31">
        <v>30</v>
      </c>
      <c r="BN31">
        <v>29</v>
      </c>
      <c r="BO31">
        <f>AVERAGE(rarefaction_analysis_ad_chao1[[#This Row],[depth-2682_iter-1]:[depth-2682_iter-10]])</f>
        <v>29.7</v>
      </c>
      <c r="BP31">
        <v>29</v>
      </c>
      <c r="BQ31">
        <v>31</v>
      </c>
      <c r="BR31">
        <v>30</v>
      </c>
      <c r="BS31">
        <v>30</v>
      </c>
      <c r="BT31">
        <v>30</v>
      </c>
      <c r="BU31">
        <v>30</v>
      </c>
      <c r="BV31">
        <v>30</v>
      </c>
      <c r="BW31">
        <v>30</v>
      </c>
      <c r="BX31">
        <v>30</v>
      </c>
      <c r="BY31">
        <v>30</v>
      </c>
      <c r="BZ31">
        <f>AVERAGE(rarefaction_analysis_ad_chao1[[#This Row],[depth-3218_iter-1]:[depth-3218_iter-10]])</f>
        <v>30</v>
      </c>
      <c r="CA31">
        <v>30</v>
      </c>
      <c r="CB31">
        <v>30</v>
      </c>
      <c r="CC31">
        <v>30</v>
      </c>
      <c r="CD31">
        <v>30</v>
      </c>
      <c r="CE31">
        <v>30</v>
      </c>
      <c r="CF31">
        <v>30</v>
      </c>
      <c r="CG31">
        <v>30</v>
      </c>
      <c r="CH31">
        <v>30</v>
      </c>
      <c r="CI31">
        <v>30</v>
      </c>
      <c r="CJ31">
        <v>30</v>
      </c>
      <c r="CK31">
        <f>AVERAGE(rarefaction_analysis_ad_chao1[[#This Row],[depth-3754_iter-1]:[depth-3754_iter-10]])</f>
        <v>30</v>
      </c>
      <c r="CL31">
        <v>30</v>
      </c>
      <c r="CM31">
        <v>30</v>
      </c>
      <c r="CN31">
        <v>30</v>
      </c>
      <c r="CO31">
        <v>30</v>
      </c>
      <c r="CP31">
        <v>30</v>
      </c>
      <c r="CQ31">
        <v>30</v>
      </c>
      <c r="CR31">
        <v>30</v>
      </c>
      <c r="CS31">
        <v>30</v>
      </c>
      <c r="CT31">
        <v>30</v>
      </c>
      <c r="CU31">
        <v>30</v>
      </c>
      <c r="CV31">
        <f>AVERAGE(rarefaction_analysis_ad_chao1[[#This Row],[depth-4290_iter-1]:[depth-4290_iter-10]])</f>
        <v>30</v>
      </c>
      <c r="DG31" t="e">
        <f>AVERAGE(rarefaction_analysis_ad_chao1[[#This Row],[depth-4827_iter-1]:[depth-4827_iter-10]])</f>
        <v>#DIV/0!</v>
      </c>
      <c r="DH31" t="s">
        <v>190</v>
      </c>
      <c r="DI31">
        <v>539</v>
      </c>
      <c r="DJ31" t="s">
        <v>117</v>
      </c>
      <c r="DK31" t="s">
        <v>176</v>
      </c>
      <c r="DL31" t="s">
        <v>160</v>
      </c>
      <c r="DM31" t="s">
        <v>161</v>
      </c>
      <c r="DN31" t="s">
        <v>162</v>
      </c>
    </row>
    <row r="32" spans="1:118" x14ac:dyDescent="0.35">
      <c r="A32" t="s">
        <v>195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f>AVERAGE(rarefaction_analysis_ad_chao1[[#This Row],[depth-1_iter-1]:[depth-1_iter-10]])</f>
        <v>1</v>
      </c>
      <c r="M32">
        <v>38</v>
      </c>
      <c r="N32">
        <v>43</v>
      </c>
      <c r="O32">
        <v>34.142857142857146</v>
      </c>
      <c r="P32">
        <v>37</v>
      </c>
      <c r="Q32">
        <v>34.25</v>
      </c>
      <c r="R32">
        <v>44.166666666666657</v>
      </c>
      <c r="S32">
        <v>35.625</v>
      </c>
      <c r="T32">
        <v>35</v>
      </c>
      <c r="U32">
        <v>34.25</v>
      </c>
      <c r="V32">
        <v>36.666666666666657</v>
      </c>
      <c r="W32">
        <f>AVERAGE(rarefaction_analysis_ad_chao1[[#This Row],[depth-537_iter-1]:[depth-537_iter-10]])</f>
        <v>37.210119047619045</v>
      </c>
      <c r="X32">
        <v>38.299999999999997</v>
      </c>
      <c r="Y32">
        <v>48</v>
      </c>
      <c r="Z32">
        <v>38.5</v>
      </c>
      <c r="AA32">
        <v>38</v>
      </c>
      <c r="AB32">
        <v>36.428571428571431</v>
      </c>
      <c r="AC32">
        <v>35.6</v>
      </c>
      <c r="AD32">
        <v>38.5</v>
      </c>
      <c r="AE32">
        <v>41.75</v>
      </c>
      <c r="AF32">
        <v>38.5</v>
      </c>
      <c r="AG32">
        <v>37</v>
      </c>
      <c r="AH32">
        <f>AVERAGE(rarefaction_analysis_ad_chao1[[#This Row],[depth-1073_iter-1]:[depth-1073_iter-10]])</f>
        <v>39.057857142857145</v>
      </c>
      <c r="AI32">
        <v>39</v>
      </c>
      <c r="AJ32">
        <v>38.428571428571431</v>
      </c>
      <c r="AK32">
        <v>37.333333333333336</v>
      </c>
      <c r="AL32">
        <v>38.6</v>
      </c>
      <c r="AM32">
        <v>40</v>
      </c>
      <c r="AN32">
        <v>38.200000000000003</v>
      </c>
      <c r="AO32">
        <v>43</v>
      </c>
      <c r="AP32">
        <v>38</v>
      </c>
      <c r="AQ32">
        <v>39.428571428571431</v>
      </c>
      <c r="AR32">
        <v>39.5</v>
      </c>
      <c r="AS32">
        <f>AVERAGE(rarefaction_analysis_ad_chao1[[#This Row],[depth-1609_iter-1]:[depth-1609_iter-10]])</f>
        <v>39.149047619047622</v>
      </c>
      <c r="AT32">
        <v>39.200000000000003</v>
      </c>
      <c r="AU32">
        <v>39</v>
      </c>
      <c r="AV32">
        <v>37</v>
      </c>
      <c r="AW32">
        <v>39</v>
      </c>
      <c r="AX32">
        <v>39</v>
      </c>
      <c r="AY32">
        <v>39.5</v>
      </c>
      <c r="AZ32">
        <v>38</v>
      </c>
      <c r="BA32">
        <v>39.5</v>
      </c>
      <c r="BB32">
        <v>39</v>
      </c>
      <c r="BC32">
        <v>38</v>
      </c>
      <c r="BD32">
        <f>AVERAGE(rarefaction_analysis_ad_chao1[[#This Row],[depth-2145_iter-1]:[depth-2145_iter-10]])</f>
        <v>38.72</v>
      </c>
      <c r="BE32">
        <v>39</v>
      </c>
      <c r="BF32">
        <v>39</v>
      </c>
      <c r="BG32">
        <v>39</v>
      </c>
      <c r="BH32">
        <v>39</v>
      </c>
      <c r="BI32">
        <v>38</v>
      </c>
      <c r="BJ32">
        <v>39</v>
      </c>
      <c r="BK32">
        <v>39</v>
      </c>
      <c r="BL32">
        <v>39</v>
      </c>
      <c r="BM32">
        <v>39</v>
      </c>
      <c r="BN32">
        <v>39</v>
      </c>
      <c r="BO32">
        <f>AVERAGE(rarefaction_analysis_ad_chao1[[#This Row],[depth-2682_iter-1]:[depth-2682_iter-10]])</f>
        <v>38.9</v>
      </c>
      <c r="BP32">
        <v>39</v>
      </c>
      <c r="BQ32">
        <v>39</v>
      </c>
      <c r="BR32">
        <v>39</v>
      </c>
      <c r="BS32">
        <v>39</v>
      </c>
      <c r="BT32">
        <v>39</v>
      </c>
      <c r="BU32">
        <v>39</v>
      </c>
      <c r="BV32">
        <v>39</v>
      </c>
      <c r="BW32">
        <v>39</v>
      </c>
      <c r="BX32">
        <v>39</v>
      </c>
      <c r="BY32">
        <v>39</v>
      </c>
      <c r="BZ32">
        <f>AVERAGE(rarefaction_analysis_ad_chao1[[#This Row],[depth-3218_iter-1]:[depth-3218_iter-10]])</f>
        <v>39</v>
      </c>
      <c r="CA32">
        <v>39</v>
      </c>
      <c r="CB32">
        <v>39</v>
      </c>
      <c r="CC32">
        <v>39</v>
      </c>
      <c r="CD32">
        <v>39</v>
      </c>
      <c r="CE32">
        <v>39</v>
      </c>
      <c r="CF32">
        <v>39</v>
      </c>
      <c r="CG32">
        <v>39</v>
      </c>
      <c r="CH32">
        <v>39</v>
      </c>
      <c r="CI32">
        <v>39</v>
      </c>
      <c r="CJ32">
        <v>39</v>
      </c>
      <c r="CK32">
        <f>AVERAGE(rarefaction_analysis_ad_chao1[[#This Row],[depth-3754_iter-1]:[depth-3754_iter-10]])</f>
        <v>39</v>
      </c>
      <c r="CL32">
        <v>39</v>
      </c>
      <c r="CM32">
        <v>39</v>
      </c>
      <c r="CN32">
        <v>39</v>
      </c>
      <c r="CO32">
        <v>39</v>
      </c>
      <c r="CP32">
        <v>39</v>
      </c>
      <c r="CQ32">
        <v>39</v>
      </c>
      <c r="CR32">
        <v>39</v>
      </c>
      <c r="CS32">
        <v>39</v>
      </c>
      <c r="CT32">
        <v>39</v>
      </c>
      <c r="CU32">
        <v>39</v>
      </c>
      <c r="CV32">
        <f>AVERAGE(rarefaction_analysis_ad_chao1[[#This Row],[depth-4290_iter-1]:[depth-4290_iter-10]])</f>
        <v>39</v>
      </c>
      <c r="DG32" t="e">
        <f>AVERAGE(rarefaction_analysis_ad_chao1[[#This Row],[depth-4827_iter-1]:[depth-4827_iter-10]])</f>
        <v>#DIV/0!</v>
      </c>
      <c r="DH32" t="s">
        <v>196</v>
      </c>
      <c r="DI32">
        <v>539</v>
      </c>
      <c r="DJ32" t="s">
        <v>117</v>
      </c>
      <c r="DK32" t="s">
        <v>176</v>
      </c>
      <c r="DL32" t="s">
        <v>160</v>
      </c>
      <c r="DM32" t="s">
        <v>161</v>
      </c>
      <c r="DN32" t="s">
        <v>162</v>
      </c>
    </row>
    <row r="33" spans="1:118" x14ac:dyDescent="0.35">
      <c r="A33" t="s">
        <v>199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f>AVERAGE(rarefaction_analysis_ad_chao1[[#This Row],[depth-1_iter-1]:[depth-1_iter-10]])</f>
        <v>1</v>
      </c>
      <c r="M33">
        <v>25</v>
      </c>
      <c r="N33">
        <v>23</v>
      </c>
      <c r="O33">
        <v>30</v>
      </c>
      <c r="P33">
        <v>23.5</v>
      </c>
      <c r="Q33">
        <v>30</v>
      </c>
      <c r="R33">
        <v>27.2</v>
      </c>
      <c r="S33">
        <v>23.5</v>
      </c>
      <c r="T33">
        <v>24.75</v>
      </c>
      <c r="U33">
        <v>25.5</v>
      </c>
      <c r="V33">
        <v>24.75</v>
      </c>
      <c r="W33">
        <f>AVERAGE(rarefaction_analysis_ad_chao1[[#This Row],[depth-537_iter-1]:[depth-537_iter-10]])</f>
        <v>25.72</v>
      </c>
      <c r="X33">
        <v>23</v>
      </c>
      <c r="Y33">
        <v>24.75</v>
      </c>
      <c r="Z33">
        <v>26.5</v>
      </c>
      <c r="AA33">
        <v>27.2</v>
      </c>
      <c r="AB33">
        <v>33.5</v>
      </c>
      <c r="AC33">
        <v>29.75</v>
      </c>
      <c r="AD33">
        <v>27.2</v>
      </c>
      <c r="AE33">
        <v>25.166666666666668</v>
      </c>
      <c r="AF33">
        <v>27</v>
      </c>
      <c r="AG33">
        <v>26.6</v>
      </c>
      <c r="AH33">
        <f>AVERAGE(rarefaction_analysis_ad_chao1[[#This Row],[depth-1073_iter-1]:[depth-1073_iter-10]])</f>
        <v>27.066666666666663</v>
      </c>
      <c r="AI33">
        <v>27</v>
      </c>
      <c r="AJ33">
        <v>26.2</v>
      </c>
      <c r="AK33">
        <v>24</v>
      </c>
      <c r="AL33">
        <v>34.5</v>
      </c>
      <c r="AM33">
        <v>42</v>
      </c>
      <c r="AN33">
        <v>33</v>
      </c>
      <c r="AO33">
        <v>26.5</v>
      </c>
      <c r="AP33">
        <v>26.5</v>
      </c>
      <c r="AQ33">
        <v>31</v>
      </c>
      <c r="AR33">
        <v>24.25</v>
      </c>
      <c r="AS33">
        <f>AVERAGE(rarefaction_analysis_ad_chao1[[#This Row],[depth-1609_iter-1]:[depth-1609_iter-10]])</f>
        <v>29.494999999999997</v>
      </c>
      <c r="AT33">
        <v>29</v>
      </c>
      <c r="AU33">
        <v>27.2</v>
      </c>
      <c r="AV33">
        <v>28.6</v>
      </c>
      <c r="AW33">
        <v>26</v>
      </c>
      <c r="AX33">
        <v>25</v>
      </c>
      <c r="AY33">
        <v>30.333333333333329</v>
      </c>
      <c r="AZ33">
        <v>30</v>
      </c>
      <c r="BA33">
        <v>31</v>
      </c>
      <c r="BB33">
        <v>29</v>
      </c>
      <c r="BC33">
        <v>28.5</v>
      </c>
      <c r="BD33">
        <f>AVERAGE(rarefaction_analysis_ad_chao1[[#This Row],[depth-2145_iter-1]:[depth-2145_iter-10]])</f>
        <v>28.463333333333331</v>
      </c>
      <c r="BE33">
        <v>29.5</v>
      </c>
      <c r="BF33">
        <v>27</v>
      </c>
      <c r="BG33">
        <v>27</v>
      </c>
      <c r="BH33">
        <v>28.333333333333329</v>
      </c>
      <c r="BI33">
        <v>28.75</v>
      </c>
      <c r="BJ33">
        <v>28.5</v>
      </c>
      <c r="BK33">
        <v>27</v>
      </c>
      <c r="BL33">
        <v>27</v>
      </c>
      <c r="BM33">
        <v>27</v>
      </c>
      <c r="BN33">
        <v>28.5</v>
      </c>
      <c r="BO33">
        <f>AVERAGE(rarefaction_analysis_ad_chao1[[#This Row],[depth-2682_iter-1]:[depth-2682_iter-10]])</f>
        <v>27.858333333333331</v>
      </c>
      <c r="BP33">
        <v>28</v>
      </c>
      <c r="BQ33">
        <v>28</v>
      </c>
      <c r="BR33">
        <v>28</v>
      </c>
      <c r="BS33">
        <v>28</v>
      </c>
      <c r="BT33">
        <v>28</v>
      </c>
      <c r="BU33">
        <v>26</v>
      </c>
      <c r="BV33">
        <v>28.333333333333329</v>
      </c>
      <c r="BW33">
        <v>28</v>
      </c>
      <c r="BX33">
        <v>28.25</v>
      </c>
      <c r="BY33">
        <v>26</v>
      </c>
      <c r="BZ33">
        <f>AVERAGE(rarefaction_analysis_ad_chao1[[#This Row],[depth-3218_iter-1]:[depth-3218_iter-10]])</f>
        <v>27.658333333333331</v>
      </c>
      <c r="CA33">
        <v>28.25</v>
      </c>
      <c r="CB33">
        <v>28</v>
      </c>
      <c r="CC33">
        <v>28</v>
      </c>
      <c r="CD33">
        <v>28.5</v>
      </c>
      <c r="CE33">
        <v>28</v>
      </c>
      <c r="CF33">
        <v>28</v>
      </c>
      <c r="CG33">
        <v>28</v>
      </c>
      <c r="CH33">
        <v>28</v>
      </c>
      <c r="CI33">
        <v>28</v>
      </c>
      <c r="CJ33">
        <v>28</v>
      </c>
      <c r="CK33">
        <f>AVERAGE(rarefaction_analysis_ad_chao1[[#This Row],[depth-3754_iter-1]:[depth-3754_iter-10]])</f>
        <v>28.074999999999999</v>
      </c>
      <c r="CV33" t="e">
        <f>AVERAGE(rarefaction_analysis_ad_chao1[[#This Row],[depth-4290_iter-1]:[depth-4290_iter-10]])</f>
        <v>#DIV/0!</v>
      </c>
      <c r="DG33" t="e">
        <f>AVERAGE(rarefaction_analysis_ad_chao1[[#This Row],[depth-4827_iter-1]:[depth-4827_iter-10]])</f>
        <v>#DIV/0!</v>
      </c>
      <c r="DH33" t="s">
        <v>200</v>
      </c>
      <c r="DI33">
        <v>539</v>
      </c>
      <c r="DJ33" t="s">
        <v>117</v>
      </c>
      <c r="DK33" t="s">
        <v>176</v>
      </c>
      <c r="DL33" t="s">
        <v>160</v>
      </c>
      <c r="DM33" t="s">
        <v>161</v>
      </c>
      <c r="DN33" t="s">
        <v>162</v>
      </c>
    </row>
    <row r="34" spans="1:118" x14ac:dyDescent="0.35">
      <c r="A34" t="s">
        <v>203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f>AVERAGE(rarefaction_analysis_ad_chao1[[#This Row],[depth-1_iter-1]:[depth-1_iter-10]])</f>
        <v>1</v>
      </c>
      <c r="M34">
        <v>39.111111111111121</v>
      </c>
      <c r="N34">
        <v>48</v>
      </c>
      <c r="O34">
        <v>45.142857142857146</v>
      </c>
      <c r="P34">
        <v>41</v>
      </c>
      <c r="Q34">
        <v>37</v>
      </c>
      <c r="R34">
        <v>39.25</v>
      </c>
      <c r="S34">
        <v>38.25</v>
      </c>
      <c r="T34">
        <v>41.111111111111121</v>
      </c>
      <c r="U34">
        <v>40</v>
      </c>
      <c r="V34">
        <v>41.625</v>
      </c>
      <c r="W34">
        <f>AVERAGE(rarefaction_analysis_ad_chao1[[#This Row],[depth-537_iter-1]:[depth-537_iter-10]])</f>
        <v>41.049007936507941</v>
      </c>
      <c r="X34">
        <v>41.333333333333336</v>
      </c>
      <c r="Y34">
        <v>41.166666666666657</v>
      </c>
      <c r="Z34">
        <v>43</v>
      </c>
      <c r="AA34">
        <v>42</v>
      </c>
      <c r="AB34">
        <v>41</v>
      </c>
      <c r="AC34">
        <v>39.333333333333336</v>
      </c>
      <c r="AD34">
        <v>42.2</v>
      </c>
      <c r="AE34">
        <v>41</v>
      </c>
      <c r="AF34">
        <v>44</v>
      </c>
      <c r="AG34">
        <v>42.2</v>
      </c>
      <c r="AH34">
        <f>AVERAGE(rarefaction_analysis_ad_chao1[[#This Row],[depth-1073_iter-1]:[depth-1073_iter-10]])</f>
        <v>41.723333333333336</v>
      </c>
      <c r="AI34">
        <v>42</v>
      </c>
      <c r="AJ34">
        <v>41.5</v>
      </c>
      <c r="AK34">
        <v>41</v>
      </c>
      <c r="AL34">
        <v>42</v>
      </c>
      <c r="AM34">
        <v>42</v>
      </c>
      <c r="AN34">
        <v>42</v>
      </c>
      <c r="AO34">
        <v>41</v>
      </c>
      <c r="AP34">
        <v>41</v>
      </c>
      <c r="AQ34">
        <v>42</v>
      </c>
      <c r="AR34">
        <v>42</v>
      </c>
      <c r="AS34">
        <f>AVERAGE(rarefaction_analysis_ad_chao1[[#This Row],[depth-1609_iter-1]:[depth-1609_iter-10]])</f>
        <v>41.65</v>
      </c>
      <c r="AT34">
        <v>42</v>
      </c>
      <c r="AU34">
        <v>42</v>
      </c>
      <c r="AV34">
        <v>42</v>
      </c>
      <c r="AW34">
        <v>42</v>
      </c>
      <c r="AX34">
        <v>42</v>
      </c>
      <c r="AY34">
        <v>42</v>
      </c>
      <c r="AZ34">
        <v>42</v>
      </c>
      <c r="BA34">
        <v>42</v>
      </c>
      <c r="BB34">
        <v>42</v>
      </c>
      <c r="BC34">
        <v>41</v>
      </c>
      <c r="BD34">
        <f>AVERAGE(rarefaction_analysis_ad_chao1[[#This Row],[depth-2145_iter-1]:[depth-2145_iter-10]])</f>
        <v>41.9</v>
      </c>
      <c r="BE34">
        <v>42</v>
      </c>
      <c r="BF34">
        <v>42</v>
      </c>
      <c r="BG34">
        <v>42</v>
      </c>
      <c r="BH34">
        <v>42</v>
      </c>
      <c r="BI34">
        <v>42</v>
      </c>
      <c r="BJ34">
        <v>42</v>
      </c>
      <c r="BK34">
        <v>42</v>
      </c>
      <c r="BL34">
        <v>42</v>
      </c>
      <c r="BM34">
        <v>42</v>
      </c>
      <c r="BN34">
        <v>42</v>
      </c>
      <c r="BO34">
        <f>AVERAGE(rarefaction_analysis_ad_chao1[[#This Row],[depth-2682_iter-1]:[depth-2682_iter-10]])</f>
        <v>42</v>
      </c>
      <c r="BP34">
        <v>42</v>
      </c>
      <c r="BQ34">
        <v>42</v>
      </c>
      <c r="BR34">
        <v>42</v>
      </c>
      <c r="BS34">
        <v>42</v>
      </c>
      <c r="BT34">
        <v>42</v>
      </c>
      <c r="BU34">
        <v>42</v>
      </c>
      <c r="BV34">
        <v>42</v>
      </c>
      <c r="BW34">
        <v>42</v>
      </c>
      <c r="BX34">
        <v>42</v>
      </c>
      <c r="BY34">
        <v>42</v>
      </c>
      <c r="BZ34">
        <f>AVERAGE(rarefaction_analysis_ad_chao1[[#This Row],[depth-3218_iter-1]:[depth-3218_iter-10]])</f>
        <v>42</v>
      </c>
      <c r="CK34" t="e">
        <f>AVERAGE(rarefaction_analysis_ad_chao1[[#This Row],[depth-3754_iter-1]:[depth-3754_iter-10]])</f>
        <v>#DIV/0!</v>
      </c>
      <c r="CV34" t="e">
        <f>AVERAGE(rarefaction_analysis_ad_chao1[[#This Row],[depth-4290_iter-1]:[depth-4290_iter-10]])</f>
        <v>#DIV/0!</v>
      </c>
      <c r="DG34" t="e">
        <f>AVERAGE(rarefaction_analysis_ad_chao1[[#This Row],[depth-4827_iter-1]:[depth-4827_iter-10]])</f>
        <v>#DIV/0!</v>
      </c>
      <c r="DH34" t="s">
        <v>204</v>
      </c>
      <c r="DI34">
        <v>546</v>
      </c>
      <c r="DJ34" t="s">
        <v>117</v>
      </c>
      <c r="DK34" t="s">
        <v>205</v>
      </c>
      <c r="DL34" t="s">
        <v>160</v>
      </c>
      <c r="DM34" t="s">
        <v>161</v>
      </c>
      <c r="DN34" t="s">
        <v>162</v>
      </c>
    </row>
    <row r="35" spans="1:118" x14ac:dyDescent="0.35">
      <c r="A35" t="s">
        <v>208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f>AVERAGE(rarefaction_analysis_ad_chao1[[#This Row],[depth-1_iter-1]:[depth-1_iter-10]])</f>
        <v>1</v>
      </c>
      <c r="M35">
        <v>23.5</v>
      </c>
      <c r="N35">
        <v>41</v>
      </c>
      <c r="O35">
        <v>26</v>
      </c>
      <c r="P35">
        <v>53</v>
      </c>
      <c r="Q35">
        <v>23.25</v>
      </c>
      <c r="R35">
        <v>25</v>
      </c>
      <c r="S35">
        <v>22.5</v>
      </c>
      <c r="T35">
        <v>30</v>
      </c>
      <c r="U35">
        <v>29</v>
      </c>
      <c r="V35">
        <v>29.5</v>
      </c>
      <c r="W35">
        <f>AVERAGE(rarefaction_analysis_ad_chao1[[#This Row],[depth-537_iter-1]:[depth-537_iter-10]])</f>
        <v>30.274999999999999</v>
      </c>
      <c r="X35">
        <v>26.2</v>
      </c>
      <c r="Y35">
        <v>30.5</v>
      </c>
      <c r="Z35">
        <v>36.5</v>
      </c>
      <c r="AA35">
        <v>26.142857142857142</v>
      </c>
      <c r="AB35">
        <v>31.5</v>
      </c>
      <c r="AC35">
        <v>28.166666666666668</v>
      </c>
      <c r="AD35">
        <v>27</v>
      </c>
      <c r="AE35">
        <v>34.25</v>
      </c>
      <c r="AF35">
        <v>30.142857142857142</v>
      </c>
      <c r="AG35">
        <v>32.5</v>
      </c>
      <c r="AH35">
        <f>AVERAGE(rarefaction_analysis_ad_chao1[[#This Row],[depth-1073_iter-1]:[depth-1073_iter-10]])</f>
        <v>30.290238095238095</v>
      </c>
      <c r="AI35">
        <v>30</v>
      </c>
      <c r="AJ35">
        <v>27</v>
      </c>
      <c r="AK35">
        <v>30.5</v>
      </c>
      <c r="AL35">
        <v>29.25</v>
      </c>
      <c r="AM35">
        <v>29</v>
      </c>
      <c r="AN35">
        <v>31</v>
      </c>
      <c r="AO35">
        <v>30.333333333333329</v>
      </c>
      <c r="AP35">
        <v>28.333333333333329</v>
      </c>
      <c r="AQ35">
        <v>30</v>
      </c>
      <c r="AR35">
        <v>29.75</v>
      </c>
      <c r="AS35">
        <f>AVERAGE(rarefaction_analysis_ad_chao1[[#This Row],[depth-1609_iter-1]:[depth-1609_iter-10]])</f>
        <v>29.516666666666662</v>
      </c>
      <c r="AT35">
        <v>29</v>
      </c>
      <c r="AU35">
        <v>28</v>
      </c>
      <c r="AV35">
        <v>29.5</v>
      </c>
      <c r="AW35">
        <v>35</v>
      </c>
      <c r="AX35">
        <v>29</v>
      </c>
      <c r="AY35">
        <v>31</v>
      </c>
      <c r="AZ35">
        <v>28</v>
      </c>
      <c r="BA35">
        <v>33</v>
      </c>
      <c r="BB35">
        <v>30</v>
      </c>
      <c r="BC35">
        <v>30.25</v>
      </c>
      <c r="BD35">
        <f>AVERAGE(rarefaction_analysis_ad_chao1[[#This Row],[depth-2145_iter-1]:[depth-2145_iter-10]])</f>
        <v>30.274999999999999</v>
      </c>
      <c r="BE35">
        <v>30</v>
      </c>
      <c r="BF35">
        <v>30</v>
      </c>
      <c r="BG35">
        <v>30</v>
      </c>
      <c r="BH35">
        <v>30</v>
      </c>
      <c r="BI35">
        <v>30</v>
      </c>
      <c r="BJ35">
        <v>30</v>
      </c>
      <c r="BK35">
        <v>30.5</v>
      </c>
      <c r="BL35">
        <v>30</v>
      </c>
      <c r="BM35">
        <v>30.5</v>
      </c>
      <c r="BN35">
        <v>30</v>
      </c>
      <c r="BO35">
        <f>AVERAGE(rarefaction_analysis_ad_chao1[[#This Row],[depth-2682_iter-1]:[depth-2682_iter-10]])</f>
        <v>30.1</v>
      </c>
      <c r="BP35">
        <v>30</v>
      </c>
      <c r="BQ35">
        <v>30</v>
      </c>
      <c r="BR35">
        <v>30</v>
      </c>
      <c r="BS35">
        <v>30</v>
      </c>
      <c r="BT35">
        <v>30</v>
      </c>
      <c r="BU35">
        <v>30</v>
      </c>
      <c r="BV35">
        <v>30</v>
      </c>
      <c r="BW35">
        <v>30</v>
      </c>
      <c r="BX35">
        <v>30</v>
      </c>
      <c r="BY35">
        <v>30</v>
      </c>
      <c r="BZ35">
        <f>AVERAGE(rarefaction_analysis_ad_chao1[[#This Row],[depth-3218_iter-1]:[depth-3218_iter-10]])</f>
        <v>30</v>
      </c>
      <c r="CA35">
        <v>30</v>
      </c>
      <c r="CB35">
        <v>30</v>
      </c>
      <c r="CC35">
        <v>30</v>
      </c>
      <c r="CD35">
        <v>30</v>
      </c>
      <c r="CE35">
        <v>30</v>
      </c>
      <c r="CF35">
        <v>30</v>
      </c>
      <c r="CG35">
        <v>30</v>
      </c>
      <c r="CH35">
        <v>30</v>
      </c>
      <c r="CI35">
        <v>30</v>
      </c>
      <c r="CJ35">
        <v>30</v>
      </c>
      <c r="CK35">
        <f>AVERAGE(rarefaction_analysis_ad_chao1[[#This Row],[depth-3754_iter-1]:[depth-3754_iter-10]])</f>
        <v>30</v>
      </c>
      <c r="CV35" t="e">
        <f>AVERAGE(rarefaction_analysis_ad_chao1[[#This Row],[depth-4290_iter-1]:[depth-4290_iter-10]])</f>
        <v>#DIV/0!</v>
      </c>
      <c r="DG35" t="e">
        <f>AVERAGE(rarefaction_analysis_ad_chao1[[#This Row],[depth-4827_iter-1]:[depth-4827_iter-10]])</f>
        <v>#DIV/0!</v>
      </c>
      <c r="DH35" t="s">
        <v>209</v>
      </c>
      <c r="DI35">
        <v>546</v>
      </c>
      <c r="DJ35" t="s">
        <v>117</v>
      </c>
      <c r="DK35" t="s">
        <v>205</v>
      </c>
      <c r="DL35" t="s">
        <v>160</v>
      </c>
      <c r="DM35" t="s">
        <v>161</v>
      </c>
      <c r="DN35" t="s">
        <v>162</v>
      </c>
    </row>
    <row r="36" spans="1:118" x14ac:dyDescent="0.35">
      <c r="A36" t="s">
        <v>212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f>AVERAGE(rarefaction_analysis_ad_chao1[[#This Row],[depth-1_iter-1]:[depth-1_iter-10]])</f>
        <v>1</v>
      </c>
      <c r="M36">
        <v>34</v>
      </c>
      <c r="N36">
        <v>37.6</v>
      </c>
      <c r="O36">
        <v>40.200000000000003</v>
      </c>
      <c r="P36">
        <v>31.666666666666668</v>
      </c>
      <c r="Q36">
        <v>31</v>
      </c>
      <c r="R36">
        <v>51</v>
      </c>
      <c r="S36">
        <v>38.142857142857146</v>
      </c>
      <c r="T36">
        <v>37.5</v>
      </c>
      <c r="U36">
        <v>33.875</v>
      </c>
      <c r="V36">
        <v>28.75</v>
      </c>
      <c r="W36">
        <f>AVERAGE(rarefaction_analysis_ad_chao1[[#This Row],[depth-537_iter-1]:[depth-537_iter-10]])</f>
        <v>36.373452380952379</v>
      </c>
      <c r="X36">
        <v>34.166666666666664</v>
      </c>
      <c r="Y36">
        <v>33.142857142857146</v>
      </c>
      <c r="Z36">
        <v>37</v>
      </c>
      <c r="AA36">
        <v>39.428571428571431</v>
      </c>
      <c r="AB36">
        <v>37</v>
      </c>
      <c r="AC36">
        <v>34</v>
      </c>
      <c r="AD36">
        <v>35.5</v>
      </c>
      <c r="AE36">
        <v>38.299999999999997</v>
      </c>
      <c r="AF36">
        <v>39.75</v>
      </c>
      <c r="AG36">
        <v>44.5</v>
      </c>
      <c r="AH36">
        <f>AVERAGE(rarefaction_analysis_ad_chao1[[#This Row],[depth-1073_iter-1]:[depth-1073_iter-10]])</f>
        <v>37.278809523809528</v>
      </c>
      <c r="AI36">
        <v>36.200000000000003</v>
      </c>
      <c r="AJ36">
        <v>38.142857142857146</v>
      </c>
      <c r="AK36">
        <v>37.5</v>
      </c>
      <c r="AL36">
        <v>37.200000000000003</v>
      </c>
      <c r="AM36">
        <v>39.200000000000003</v>
      </c>
      <c r="AN36">
        <v>38.200000000000003</v>
      </c>
      <c r="AO36">
        <v>37.142857142857146</v>
      </c>
      <c r="AP36">
        <v>39.333333333333336</v>
      </c>
      <c r="AQ36">
        <v>39</v>
      </c>
      <c r="AR36">
        <v>41</v>
      </c>
      <c r="AS36">
        <f>AVERAGE(rarefaction_analysis_ad_chao1[[#This Row],[depth-1609_iter-1]:[depth-1609_iter-10]])</f>
        <v>38.29190476190476</v>
      </c>
      <c r="AT36">
        <v>38.25</v>
      </c>
      <c r="AU36">
        <v>38</v>
      </c>
      <c r="AV36">
        <v>38.25</v>
      </c>
      <c r="AW36">
        <v>38</v>
      </c>
      <c r="AX36">
        <v>38</v>
      </c>
      <c r="AY36">
        <v>41</v>
      </c>
      <c r="AZ36">
        <v>37</v>
      </c>
      <c r="BA36">
        <v>37</v>
      </c>
      <c r="BB36">
        <v>40</v>
      </c>
      <c r="BC36">
        <v>38</v>
      </c>
      <c r="BD36">
        <f>AVERAGE(rarefaction_analysis_ad_chao1[[#This Row],[depth-2145_iter-1]:[depth-2145_iter-10]])</f>
        <v>38.35</v>
      </c>
      <c r="BE36">
        <v>38</v>
      </c>
      <c r="BF36">
        <v>38</v>
      </c>
      <c r="BG36">
        <v>37</v>
      </c>
      <c r="BH36">
        <v>38</v>
      </c>
      <c r="BI36">
        <v>38</v>
      </c>
      <c r="BJ36">
        <v>38</v>
      </c>
      <c r="BK36">
        <v>38</v>
      </c>
      <c r="BL36">
        <v>37</v>
      </c>
      <c r="BM36">
        <v>38</v>
      </c>
      <c r="BN36">
        <v>38</v>
      </c>
      <c r="BO36">
        <f>AVERAGE(rarefaction_analysis_ad_chao1[[#This Row],[depth-2682_iter-1]:[depth-2682_iter-10]])</f>
        <v>37.799999999999997</v>
      </c>
      <c r="BP36">
        <v>38</v>
      </c>
      <c r="BQ36">
        <v>38</v>
      </c>
      <c r="BR36">
        <v>38</v>
      </c>
      <c r="BS36">
        <v>38</v>
      </c>
      <c r="BT36">
        <v>38</v>
      </c>
      <c r="BU36">
        <v>38</v>
      </c>
      <c r="BV36">
        <v>38</v>
      </c>
      <c r="BW36">
        <v>38</v>
      </c>
      <c r="BX36">
        <v>38</v>
      </c>
      <c r="BY36">
        <v>38</v>
      </c>
      <c r="BZ36">
        <f>AVERAGE(rarefaction_analysis_ad_chao1[[#This Row],[depth-3218_iter-1]:[depth-3218_iter-10]])</f>
        <v>38</v>
      </c>
      <c r="CA36">
        <v>38</v>
      </c>
      <c r="CB36">
        <v>38</v>
      </c>
      <c r="CC36">
        <v>38</v>
      </c>
      <c r="CD36">
        <v>38</v>
      </c>
      <c r="CE36">
        <v>38</v>
      </c>
      <c r="CF36">
        <v>38</v>
      </c>
      <c r="CG36">
        <v>38</v>
      </c>
      <c r="CH36">
        <v>38</v>
      </c>
      <c r="CI36">
        <v>38</v>
      </c>
      <c r="CJ36">
        <v>38</v>
      </c>
      <c r="CK36">
        <f>AVERAGE(rarefaction_analysis_ad_chao1[[#This Row],[depth-3754_iter-1]:[depth-3754_iter-10]])</f>
        <v>38</v>
      </c>
      <c r="CL36">
        <v>38</v>
      </c>
      <c r="CM36">
        <v>38</v>
      </c>
      <c r="CN36">
        <v>38</v>
      </c>
      <c r="CO36">
        <v>38</v>
      </c>
      <c r="CP36">
        <v>38</v>
      </c>
      <c r="CQ36">
        <v>38</v>
      </c>
      <c r="CR36">
        <v>38</v>
      </c>
      <c r="CS36">
        <v>38</v>
      </c>
      <c r="CT36">
        <v>38</v>
      </c>
      <c r="CU36">
        <v>38</v>
      </c>
      <c r="CV36">
        <f>AVERAGE(rarefaction_analysis_ad_chao1[[#This Row],[depth-4290_iter-1]:[depth-4290_iter-10]])</f>
        <v>38</v>
      </c>
      <c r="CW36">
        <v>38</v>
      </c>
      <c r="CX36">
        <v>38</v>
      </c>
      <c r="CY36">
        <v>38</v>
      </c>
      <c r="CZ36">
        <v>38</v>
      </c>
      <c r="DA36">
        <v>38</v>
      </c>
      <c r="DB36">
        <v>38</v>
      </c>
      <c r="DC36">
        <v>38</v>
      </c>
      <c r="DD36">
        <v>38</v>
      </c>
      <c r="DE36">
        <v>38</v>
      </c>
      <c r="DF36">
        <v>38</v>
      </c>
      <c r="DG36">
        <f>AVERAGE(rarefaction_analysis_ad_chao1[[#This Row],[depth-4827_iter-1]:[depth-4827_iter-10]])</f>
        <v>38</v>
      </c>
      <c r="DH36" t="s">
        <v>213</v>
      </c>
      <c r="DI36">
        <v>546</v>
      </c>
      <c r="DJ36" t="s">
        <v>117</v>
      </c>
      <c r="DK36" t="s">
        <v>205</v>
      </c>
      <c r="DL36" t="s">
        <v>160</v>
      </c>
      <c r="DM36" t="s">
        <v>161</v>
      </c>
      <c r="DN36" t="s">
        <v>162</v>
      </c>
    </row>
    <row r="37" spans="1:118" x14ac:dyDescent="0.35">
      <c r="A37" t="s">
        <v>214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f>AVERAGE(rarefaction_analysis_ad_chao1[[#This Row],[depth-1_iter-1]:[depth-1_iter-10]])</f>
        <v>1</v>
      </c>
      <c r="M37">
        <v>49.166666666666657</v>
      </c>
      <c r="N37">
        <v>42.25</v>
      </c>
      <c r="O37">
        <v>38</v>
      </c>
      <c r="P37">
        <v>43.333333333333336</v>
      </c>
      <c r="Q37">
        <v>45.142857142857146</v>
      </c>
      <c r="R37">
        <v>42.666666666666657</v>
      </c>
      <c r="S37">
        <v>49</v>
      </c>
      <c r="T37">
        <v>40.363636363636367</v>
      </c>
      <c r="U37">
        <v>40.875</v>
      </c>
      <c r="V37">
        <v>44.333333333333336</v>
      </c>
      <c r="W37">
        <f>AVERAGE(rarefaction_analysis_ad_chao1[[#This Row],[depth-537_iter-1]:[depth-537_iter-10]])</f>
        <v>43.51314935064935</v>
      </c>
      <c r="X37">
        <v>44.6</v>
      </c>
      <c r="Y37">
        <v>43</v>
      </c>
      <c r="Z37">
        <v>44.142857142857146</v>
      </c>
      <c r="AA37">
        <v>44.75</v>
      </c>
      <c r="AB37">
        <v>43.6</v>
      </c>
      <c r="AC37">
        <v>43</v>
      </c>
      <c r="AD37">
        <v>44.5</v>
      </c>
      <c r="AE37">
        <v>45</v>
      </c>
      <c r="AF37">
        <v>44.5</v>
      </c>
      <c r="AG37">
        <v>44.5</v>
      </c>
      <c r="AH37">
        <f>AVERAGE(rarefaction_analysis_ad_chao1[[#This Row],[depth-1073_iter-1]:[depth-1073_iter-10]])</f>
        <v>44.159285714285716</v>
      </c>
      <c r="AI37">
        <v>46.5</v>
      </c>
      <c r="AJ37">
        <v>44.25</v>
      </c>
      <c r="AK37">
        <v>45.25</v>
      </c>
      <c r="AL37">
        <v>45</v>
      </c>
      <c r="AM37">
        <v>46</v>
      </c>
      <c r="AN37">
        <v>45</v>
      </c>
      <c r="AO37">
        <v>45</v>
      </c>
      <c r="AP37">
        <v>44.2</v>
      </c>
      <c r="AQ37">
        <v>45</v>
      </c>
      <c r="AR37">
        <v>45</v>
      </c>
      <c r="AS37">
        <f>AVERAGE(rarefaction_analysis_ad_chao1[[#This Row],[depth-1609_iter-1]:[depth-1609_iter-10]])</f>
        <v>45.12</v>
      </c>
      <c r="AT37">
        <v>45</v>
      </c>
      <c r="AU37">
        <v>45</v>
      </c>
      <c r="AV37">
        <v>45</v>
      </c>
      <c r="AW37">
        <v>45</v>
      </c>
      <c r="AX37">
        <v>45</v>
      </c>
      <c r="AY37">
        <v>44</v>
      </c>
      <c r="AZ37">
        <v>45</v>
      </c>
      <c r="BA37">
        <v>45.2</v>
      </c>
      <c r="BB37">
        <v>45</v>
      </c>
      <c r="BC37">
        <v>45</v>
      </c>
      <c r="BD37">
        <f>AVERAGE(rarefaction_analysis_ad_chao1[[#This Row],[depth-2145_iter-1]:[depth-2145_iter-10]])</f>
        <v>44.92</v>
      </c>
      <c r="BE37">
        <v>45</v>
      </c>
      <c r="BF37">
        <v>45</v>
      </c>
      <c r="BG37">
        <v>44</v>
      </c>
      <c r="BH37">
        <v>45</v>
      </c>
      <c r="BI37">
        <v>45</v>
      </c>
      <c r="BJ37">
        <v>45</v>
      </c>
      <c r="BK37">
        <v>45</v>
      </c>
      <c r="BL37">
        <v>45</v>
      </c>
      <c r="BM37">
        <v>45</v>
      </c>
      <c r="BN37">
        <v>45</v>
      </c>
      <c r="BO37">
        <f>AVERAGE(rarefaction_analysis_ad_chao1[[#This Row],[depth-2682_iter-1]:[depth-2682_iter-10]])</f>
        <v>44.9</v>
      </c>
      <c r="BP37">
        <v>45</v>
      </c>
      <c r="BQ37">
        <v>45</v>
      </c>
      <c r="BR37">
        <v>45</v>
      </c>
      <c r="BS37">
        <v>45</v>
      </c>
      <c r="BT37">
        <v>45</v>
      </c>
      <c r="BU37">
        <v>45</v>
      </c>
      <c r="BV37">
        <v>45</v>
      </c>
      <c r="BW37">
        <v>45</v>
      </c>
      <c r="BX37">
        <v>45</v>
      </c>
      <c r="BY37">
        <v>45</v>
      </c>
      <c r="BZ37">
        <f>AVERAGE(rarefaction_analysis_ad_chao1[[#This Row],[depth-3218_iter-1]:[depth-3218_iter-10]])</f>
        <v>45</v>
      </c>
      <c r="CA37">
        <v>45</v>
      </c>
      <c r="CB37">
        <v>45</v>
      </c>
      <c r="CC37">
        <v>45</v>
      </c>
      <c r="CD37">
        <v>45</v>
      </c>
      <c r="CE37">
        <v>45</v>
      </c>
      <c r="CF37">
        <v>45</v>
      </c>
      <c r="CG37">
        <v>45</v>
      </c>
      <c r="CH37">
        <v>45</v>
      </c>
      <c r="CI37">
        <v>45</v>
      </c>
      <c r="CJ37">
        <v>45</v>
      </c>
      <c r="CK37">
        <f>AVERAGE(rarefaction_analysis_ad_chao1[[#This Row],[depth-3754_iter-1]:[depth-3754_iter-10]])</f>
        <v>45</v>
      </c>
      <c r="CL37">
        <v>45</v>
      </c>
      <c r="CM37">
        <v>45</v>
      </c>
      <c r="CN37">
        <v>45</v>
      </c>
      <c r="CO37">
        <v>45</v>
      </c>
      <c r="CP37">
        <v>45</v>
      </c>
      <c r="CQ37">
        <v>45</v>
      </c>
      <c r="CR37">
        <v>45</v>
      </c>
      <c r="CS37">
        <v>45</v>
      </c>
      <c r="CT37">
        <v>45</v>
      </c>
      <c r="CU37">
        <v>45</v>
      </c>
      <c r="CV37">
        <f>AVERAGE(rarefaction_analysis_ad_chao1[[#This Row],[depth-4290_iter-1]:[depth-4290_iter-10]])</f>
        <v>45</v>
      </c>
      <c r="CW37">
        <v>45</v>
      </c>
      <c r="CX37">
        <v>45</v>
      </c>
      <c r="CY37">
        <v>45</v>
      </c>
      <c r="CZ37">
        <v>45</v>
      </c>
      <c r="DA37">
        <v>45</v>
      </c>
      <c r="DB37">
        <v>45</v>
      </c>
      <c r="DC37">
        <v>45</v>
      </c>
      <c r="DD37">
        <v>45</v>
      </c>
      <c r="DE37">
        <v>45</v>
      </c>
      <c r="DF37">
        <v>45</v>
      </c>
      <c r="DG37">
        <f>AVERAGE(rarefaction_analysis_ad_chao1[[#This Row],[depth-4827_iter-1]:[depth-4827_iter-10]])</f>
        <v>45</v>
      </c>
      <c r="DH37" t="s">
        <v>215</v>
      </c>
      <c r="DI37">
        <v>546</v>
      </c>
      <c r="DJ37" t="s">
        <v>117</v>
      </c>
      <c r="DK37" t="s">
        <v>205</v>
      </c>
      <c r="DL37" t="s">
        <v>160</v>
      </c>
      <c r="DM37" t="s">
        <v>161</v>
      </c>
      <c r="DN37" t="s">
        <v>162</v>
      </c>
    </row>
    <row r="38" spans="1:118" x14ac:dyDescent="0.35">
      <c r="A38" t="s">
        <v>115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f>AVERAGE(rarefaction_analysis_ad_chao1[[#This Row],[depth-1_iter-1]:[depth-1_iter-10]])</f>
        <v>1</v>
      </c>
      <c r="M38">
        <v>36.5</v>
      </c>
      <c r="N38">
        <v>32.5</v>
      </c>
      <c r="O38">
        <v>35</v>
      </c>
      <c r="P38">
        <v>33</v>
      </c>
      <c r="Q38">
        <v>32</v>
      </c>
      <c r="R38">
        <v>36.25</v>
      </c>
      <c r="S38">
        <v>34</v>
      </c>
      <c r="T38">
        <v>28</v>
      </c>
      <c r="U38">
        <v>34</v>
      </c>
      <c r="V38">
        <v>32</v>
      </c>
      <c r="W38">
        <f>AVERAGE(rarefaction_analysis_ad_chao1[[#This Row],[depth-537_iter-1]:[depth-537_iter-10]])</f>
        <v>33.325000000000003</v>
      </c>
      <c r="X38">
        <v>36.200000000000003</v>
      </c>
      <c r="Y38">
        <v>34.75</v>
      </c>
      <c r="Z38">
        <v>28</v>
      </c>
      <c r="AA38">
        <v>33.333333333333336</v>
      </c>
      <c r="AB38">
        <v>35.5</v>
      </c>
      <c r="AC38">
        <v>40</v>
      </c>
      <c r="AD38">
        <v>32.75</v>
      </c>
      <c r="AE38">
        <v>34</v>
      </c>
      <c r="AF38">
        <v>33.6</v>
      </c>
      <c r="AG38">
        <v>71</v>
      </c>
      <c r="AH38">
        <f>AVERAGE(rarefaction_analysis_ad_chao1[[#This Row],[depth-1073_iter-1]:[depth-1073_iter-10]])</f>
        <v>37.913333333333334</v>
      </c>
      <c r="AI38">
        <v>34.333333333333336</v>
      </c>
      <c r="AJ38">
        <v>31</v>
      </c>
      <c r="AK38">
        <v>35.75</v>
      </c>
      <c r="AL38">
        <v>37</v>
      </c>
      <c r="AM38">
        <v>35.6</v>
      </c>
      <c r="AN38">
        <v>35.200000000000003</v>
      </c>
      <c r="AO38">
        <v>36</v>
      </c>
      <c r="AP38">
        <v>34</v>
      </c>
      <c r="AQ38">
        <v>35.200000000000003</v>
      </c>
      <c r="AR38">
        <v>35</v>
      </c>
      <c r="AS38">
        <f>AVERAGE(rarefaction_analysis_ad_chao1[[#This Row],[depth-1609_iter-1]:[depth-1609_iter-10]])</f>
        <v>34.908333333333331</v>
      </c>
      <c r="AT38">
        <v>35.75</v>
      </c>
      <c r="AU38">
        <v>36</v>
      </c>
      <c r="AV38">
        <v>41</v>
      </c>
      <c r="AW38">
        <v>35.75</v>
      </c>
      <c r="AX38">
        <v>36.6</v>
      </c>
      <c r="AY38">
        <v>35</v>
      </c>
      <c r="AZ38">
        <v>36.6</v>
      </c>
      <c r="BA38">
        <v>37</v>
      </c>
      <c r="BB38">
        <v>35.200000000000003</v>
      </c>
      <c r="BC38">
        <v>36.333333333333336</v>
      </c>
      <c r="BD38">
        <f>AVERAGE(rarefaction_analysis_ad_chao1[[#This Row],[depth-2145_iter-1]:[depth-2145_iter-10]])</f>
        <v>36.523333333333326</v>
      </c>
      <c r="BE38">
        <v>36</v>
      </c>
      <c r="BF38">
        <v>36.75</v>
      </c>
      <c r="BG38">
        <v>35</v>
      </c>
      <c r="BH38">
        <v>36</v>
      </c>
      <c r="BI38">
        <v>35</v>
      </c>
      <c r="BJ38">
        <v>37.5</v>
      </c>
      <c r="BK38">
        <v>35</v>
      </c>
      <c r="BL38">
        <v>36.5</v>
      </c>
      <c r="BM38">
        <v>35</v>
      </c>
      <c r="BN38">
        <v>36</v>
      </c>
      <c r="BO38">
        <f>AVERAGE(rarefaction_analysis_ad_chao1[[#This Row],[depth-2682_iter-1]:[depth-2682_iter-10]])</f>
        <v>35.875</v>
      </c>
      <c r="BP38">
        <v>36</v>
      </c>
      <c r="BQ38">
        <v>36</v>
      </c>
      <c r="BR38">
        <v>35</v>
      </c>
      <c r="BS38">
        <v>35</v>
      </c>
      <c r="BT38">
        <v>36</v>
      </c>
      <c r="BU38">
        <v>36</v>
      </c>
      <c r="BV38">
        <v>36.5</v>
      </c>
      <c r="BW38">
        <v>36</v>
      </c>
      <c r="BX38">
        <v>36</v>
      </c>
      <c r="BY38">
        <v>36.5</v>
      </c>
      <c r="BZ38">
        <f>AVERAGE(rarefaction_analysis_ad_chao1[[#This Row],[depth-3218_iter-1]:[depth-3218_iter-10]])</f>
        <v>35.9</v>
      </c>
      <c r="CA38">
        <v>36</v>
      </c>
      <c r="CB38">
        <v>36</v>
      </c>
      <c r="CC38">
        <v>36</v>
      </c>
      <c r="CD38">
        <v>36</v>
      </c>
      <c r="CE38">
        <v>36</v>
      </c>
      <c r="CF38">
        <v>36</v>
      </c>
      <c r="CG38">
        <v>36</v>
      </c>
      <c r="CH38">
        <v>36</v>
      </c>
      <c r="CI38">
        <v>36</v>
      </c>
      <c r="CJ38">
        <v>36</v>
      </c>
      <c r="CK38">
        <f>AVERAGE(rarefaction_analysis_ad_chao1[[#This Row],[depth-3754_iter-1]:[depth-3754_iter-10]])</f>
        <v>36</v>
      </c>
      <c r="CV38" t="e">
        <f>AVERAGE(rarefaction_analysis_ad_chao1[[#This Row],[depth-4290_iter-1]:[depth-4290_iter-10]])</f>
        <v>#DIV/0!</v>
      </c>
      <c r="DG38" t="e">
        <f>AVERAGE(rarefaction_analysis_ad_chao1[[#This Row],[depth-4827_iter-1]:[depth-4827_iter-10]])</f>
        <v>#DIV/0!</v>
      </c>
      <c r="DH38" t="s">
        <v>116</v>
      </c>
      <c r="DI38">
        <v>456</v>
      </c>
      <c r="DJ38" t="s">
        <v>117</v>
      </c>
      <c r="DK38" t="s">
        <v>111</v>
      </c>
      <c r="DL38" t="s">
        <v>112</v>
      </c>
      <c r="DM38" t="s">
        <v>113</v>
      </c>
      <c r="DN38" t="s">
        <v>118</v>
      </c>
    </row>
    <row r="39" spans="1:118" x14ac:dyDescent="0.35">
      <c r="A39" t="s">
        <v>119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f>AVERAGE(rarefaction_analysis_ad_chao1[[#This Row],[depth-1_iter-1]:[depth-1_iter-10]])</f>
        <v>1</v>
      </c>
      <c r="M39">
        <v>38.5</v>
      </c>
      <c r="N39">
        <v>38.142857142857146</v>
      </c>
      <c r="O39">
        <v>36</v>
      </c>
      <c r="P39">
        <v>44.333333333333336</v>
      </c>
      <c r="Q39">
        <v>39</v>
      </c>
      <c r="R39">
        <v>37</v>
      </c>
      <c r="S39">
        <v>43.333333333333336</v>
      </c>
      <c r="T39">
        <v>43</v>
      </c>
      <c r="U39">
        <v>36.5</v>
      </c>
      <c r="V39">
        <v>32.166666666666664</v>
      </c>
      <c r="W39">
        <f>AVERAGE(rarefaction_analysis_ad_chao1[[#This Row],[depth-537_iter-1]:[depth-537_iter-10]])</f>
        <v>38.797619047619051</v>
      </c>
      <c r="X39">
        <v>46</v>
      </c>
      <c r="Y39">
        <v>52</v>
      </c>
      <c r="Z39">
        <v>35.6</v>
      </c>
      <c r="AA39">
        <v>36.5</v>
      </c>
      <c r="AB39">
        <v>41.5</v>
      </c>
      <c r="AC39">
        <v>39</v>
      </c>
      <c r="AD39">
        <v>41.2</v>
      </c>
      <c r="AE39">
        <v>37.200000000000003</v>
      </c>
      <c r="AF39">
        <v>41</v>
      </c>
      <c r="AG39">
        <v>38.6</v>
      </c>
      <c r="AH39">
        <f>AVERAGE(rarefaction_analysis_ad_chao1[[#This Row],[depth-1073_iter-1]:[depth-1073_iter-10]])</f>
        <v>40.86</v>
      </c>
      <c r="AI39">
        <v>38</v>
      </c>
      <c r="AJ39">
        <v>39</v>
      </c>
      <c r="AK39">
        <v>39</v>
      </c>
      <c r="AL39">
        <v>38.25</v>
      </c>
      <c r="AM39">
        <v>39.75</v>
      </c>
      <c r="AN39">
        <v>39.857142857142847</v>
      </c>
      <c r="AO39">
        <v>50</v>
      </c>
      <c r="AP39">
        <v>39</v>
      </c>
      <c r="AQ39">
        <v>39.200000000000003</v>
      </c>
      <c r="AR39">
        <v>42.5</v>
      </c>
      <c r="AS39">
        <f>AVERAGE(rarefaction_analysis_ad_chao1[[#This Row],[depth-1609_iter-1]:[depth-1609_iter-10]])</f>
        <v>40.455714285714279</v>
      </c>
      <c r="AT39">
        <v>40</v>
      </c>
      <c r="AU39">
        <v>39</v>
      </c>
      <c r="AV39">
        <v>40.333333333333336</v>
      </c>
      <c r="AW39">
        <v>40.5</v>
      </c>
      <c r="AX39">
        <v>42</v>
      </c>
      <c r="AY39">
        <v>40</v>
      </c>
      <c r="AZ39">
        <v>40.200000000000003</v>
      </c>
      <c r="BA39">
        <v>41</v>
      </c>
      <c r="BB39">
        <v>39</v>
      </c>
      <c r="BC39">
        <v>38</v>
      </c>
      <c r="BD39">
        <f>AVERAGE(rarefaction_analysis_ad_chao1[[#This Row],[depth-2145_iter-1]:[depth-2145_iter-10]])</f>
        <v>40.003333333333337</v>
      </c>
      <c r="BE39">
        <v>39</v>
      </c>
      <c r="BF39">
        <v>41</v>
      </c>
      <c r="BG39">
        <v>43</v>
      </c>
      <c r="BH39">
        <v>39</v>
      </c>
      <c r="BI39">
        <v>41.5</v>
      </c>
      <c r="BJ39">
        <v>40</v>
      </c>
      <c r="BK39">
        <v>40</v>
      </c>
      <c r="BL39">
        <v>40</v>
      </c>
      <c r="BM39">
        <v>40.25</v>
      </c>
      <c r="BN39">
        <v>40.5</v>
      </c>
      <c r="BO39">
        <f>AVERAGE(rarefaction_analysis_ad_chao1[[#This Row],[depth-2682_iter-1]:[depth-2682_iter-10]])</f>
        <v>40.424999999999997</v>
      </c>
      <c r="BP39">
        <v>40</v>
      </c>
      <c r="BQ39">
        <v>40</v>
      </c>
      <c r="BR39">
        <v>40</v>
      </c>
      <c r="BS39">
        <v>40</v>
      </c>
      <c r="BT39">
        <v>39</v>
      </c>
      <c r="BU39">
        <v>40</v>
      </c>
      <c r="BV39">
        <v>40</v>
      </c>
      <c r="BW39">
        <v>40</v>
      </c>
      <c r="BX39">
        <v>39</v>
      </c>
      <c r="BY39">
        <v>40</v>
      </c>
      <c r="BZ39">
        <f>AVERAGE(rarefaction_analysis_ad_chao1[[#This Row],[depth-3218_iter-1]:[depth-3218_iter-10]])</f>
        <v>39.799999999999997</v>
      </c>
      <c r="CA39">
        <v>40</v>
      </c>
      <c r="CB39">
        <v>40</v>
      </c>
      <c r="CC39">
        <v>40</v>
      </c>
      <c r="CD39">
        <v>40</v>
      </c>
      <c r="CE39">
        <v>40</v>
      </c>
      <c r="CF39">
        <v>41</v>
      </c>
      <c r="CG39">
        <v>39</v>
      </c>
      <c r="CH39">
        <v>40</v>
      </c>
      <c r="CI39">
        <v>40</v>
      </c>
      <c r="CJ39">
        <v>40</v>
      </c>
      <c r="CK39">
        <f>AVERAGE(rarefaction_analysis_ad_chao1[[#This Row],[depth-3754_iter-1]:[depth-3754_iter-10]])</f>
        <v>40</v>
      </c>
      <c r="CL39">
        <v>40</v>
      </c>
      <c r="CM39">
        <v>40</v>
      </c>
      <c r="CN39">
        <v>40</v>
      </c>
      <c r="CO39">
        <v>40</v>
      </c>
      <c r="CP39">
        <v>40</v>
      </c>
      <c r="CQ39">
        <v>40</v>
      </c>
      <c r="CR39">
        <v>40</v>
      </c>
      <c r="CS39">
        <v>40</v>
      </c>
      <c r="CT39">
        <v>40</v>
      </c>
      <c r="CU39">
        <v>40</v>
      </c>
      <c r="CV39">
        <f>AVERAGE(rarefaction_analysis_ad_chao1[[#This Row],[depth-4290_iter-1]:[depth-4290_iter-10]])</f>
        <v>40</v>
      </c>
      <c r="DG39" t="e">
        <f>AVERAGE(rarefaction_analysis_ad_chao1[[#This Row],[depth-4827_iter-1]:[depth-4827_iter-10]])</f>
        <v>#DIV/0!</v>
      </c>
      <c r="DH39" t="s">
        <v>120</v>
      </c>
      <c r="DI39">
        <v>435</v>
      </c>
      <c r="DJ39" t="s">
        <v>117</v>
      </c>
      <c r="DK39" t="s">
        <v>121</v>
      </c>
      <c r="DL39" t="s">
        <v>112</v>
      </c>
      <c r="DM39" t="s">
        <v>113</v>
      </c>
      <c r="DN39" t="s">
        <v>118</v>
      </c>
    </row>
    <row r="40" spans="1:118" x14ac:dyDescent="0.35">
      <c r="A40" t="s">
        <v>122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f>AVERAGE(rarefaction_analysis_ad_chao1[[#This Row],[depth-1_iter-1]:[depth-1_iter-10]])</f>
        <v>1</v>
      </c>
      <c r="M40">
        <v>35.75</v>
      </c>
      <c r="N40">
        <v>36.428571428571431</v>
      </c>
      <c r="O40">
        <v>45.5</v>
      </c>
      <c r="P40">
        <v>35.5</v>
      </c>
      <c r="Q40">
        <v>35.5</v>
      </c>
      <c r="R40">
        <v>35.857142857142854</v>
      </c>
      <c r="S40">
        <v>35.5</v>
      </c>
      <c r="T40">
        <v>41.25</v>
      </c>
      <c r="U40">
        <v>37</v>
      </c>
      <c r="V40">
        <v>35.75</v>
      </c>
      <c r="W40">
        <f>AVERAGE(rarefaction_analysis_ad_chao1[[#This Row],[depth-537_iter-1]:[depth-537_iter-10]])</f>
        <v>37.403571428571432</v>
      </c>
      <c r="X40">
        <v>37.25</v>
      </c>
      <c r="Y40">
        <v>37</v>
      </c>
      <c r="Z40">
        <v>37.25</v>
      </c>
      <c r="AA40">
        <v>37</v>
      </c>
      <c r="AB40">
        <v>36.5</v>
      </c>
      <c r="AC40">
        <v>37.25</v>
      </c>
      <c r="AD40">
        <v>37</v>
      </c>
      <c r="AE40">
        <v>36</v>
      </c>
      <c r="AF40">
        <v>37</v>
      </c>
      <c r="AG40">
        <v>38.25</v>
      </c>
      <c r="AH40">
        <f>AVERAGE(rarefaction_analysis_ad_chao1[[#This Row],[depth-1073_iter-1]:[depth-1073_iter-10]])</f>
        <v>37.049999999999997</v>
      </c>
      <c r="AI40">
        <v>37</v>
      </c>
      <c r="AJ40">
        <v>37</v>
      </c>
      <c r="AK40">
        <v>36</v>
      </c>
      <c r="AL40">
        <v>38</v>
      </c>
      <c r="AM40">
        <v>37</v>
      </c>
      <c r="AN40">
        <v>36</v>
      </c>
      <c r="AO40">
        <v>37</v>
      </c>
      <c r="AP40">
        <v>38</v>
      </c>
      <c r="AQ40">
        <v>37</v>
      </c>
      <c r="AR40">
        <v>37</v>
      </c>
      <c r="AS40">
        <f>AVERAGE(rarefaction_analysis_ad_chao1[[#This Row],[depth-1609_iter-1]:[depth-1609_iter-10]])</f>
        <v>37</v>
      </c>
      <c r="AT40">
        <v>38.333333333333336</v>
      </c>
      <c r="AU40">
        <v>36</v>
      </c>
      <c r="AV40">
        <v>38</v>
      </c>
      <c r="AW40">
        <v>38</v>
      </c>
      <c r="AX40">
        <v>38</v>
      </c>
      <c r="AY40">
        <v>37</v>
      </c>
      <c r="AZ40">
        <v>38</v>
      </c>
      <c r="BA40">
        <v>38.5</v>
      </c>
      <c r="BB40">
        <v>36</v>
      </c>
      <c r="BC40">
        <v>39</v>
      </c>
      <c r="BD40">
        <f>AVERAGE(rarefaction_analysis_ad_chao1[[#This Row],[depth-2145_iter-1]:[depth-2145_iter-10]])</f>
        <v>37.683333333333337</v>
      </c>
      <c r="BE40">
        <v>38.5</v>
      </c>
      <c r="BF40">
        <v>38</v>
      </c>
      <c r="BG40">
        <v>38</v>
      </c>
      <c r="BH40">
        <v>38</v>
      </c>
      <c r="BI40">
        <v>38</v>
      </c>
      <c r="BJ40">
        <v>38</v>
      </c>
      <c r="BK40">
        <v>38</v>
      </c>
      <c r="BL40">
        <v>38</v>
      </c>
      <c r="BM40">
        <v>38</v>
      </c>
      <c r="BN40">
        <v>38</v>
      </c>
      <c r="BO40">
        <f>AVERAGE(rarefaction_analysis_ad_chao1[[#This Row],[depth-2682_iter-1]:[depth-2682_iter-10]])</f>
        <v>38.049999999999997</v>
      </c>
      <c r="BP40">
        <v>38</v>
      </c>
      <c r="BQ40">
        <v>37</v>
      </c>
      <c r="BR40">
        <v>38</v>
      </c>
      <c r="BS40">
        <v>38</v>
      </c>
      <c r="BT40">
        <v>38</v>
      </c>
      <c r="BU40">
        <v>38</v>
      </c>
      <c r="BV40">
        <v>38</v>
      </c>
      <c r="BW40">
        <v>38</v>
      </c>
      <c r="BX40">
        <v>38</v>
      </c>
      <c r="BY40">
        <v>38</v>
      </c>
      <c r="BZ40">
        <f>AVERAGE(rarefaction_analysis_ad_chao1[[#This Row],[depth-3218_iter-1]:[depth-3218_iter-10]])</f>
        <v>37.9</v>
      </c>
      <c r="CA40">
        <v>38</v>
      </c>
      <c r="CB40">
        <v>38</v>
      </c>
      <c r="CC40">
        <v>38</v>
      </c>
      <c r="CD40">
        <v>38</v>
      </c>
      <c r="CE40">
        <v>38</v>
      </c>
      <c r="CF40">
        <v>38</v>
      </c>
      <c r="CG40">
        <v>38</v>
      </c>
      <c r="CH40">
        <v>38</v>
      </c>
      <c r="CI40">
        <v>38</v>
      </c>
      <c r="CJ40">
        <v>38</v>
      </c>
      <c r="CK40">
        <f>AVERAGE(rarefaction_analysis_ad_chao1[[#This Row],[depth-3754_iter-1]:[depth-3754_iter-10]])</f>
        <v>38</v>
      </c>
      <c r="CV40" t="e">
        <f>AVERAGE(rarefaction_analysis_ad_chao1[[#This Row],[depth-4290_iter-1]:[depth-4290_iter-10]])</f>
        <v>#DIV/0!</v>
      </c>
      <c r="DG40" t="e">
        <f>AVERAGE(rarefaction_analysis_ad_chao1[[#This Row],[depth-4827_iter-1]:[depth-4827_iter-10]])</f>
        <v>#DIV/0!</v>
      </c>
      <c r="DH40" t="s">
        <v>123</v>
      </c>
      <c r="DI40">
        <v>435</v>
      </c>
      <c r="DJ40" t="s">
        <v>117</v>
      </c>
      <c r="DK40" t="s">
        <v>121</v>
      </c>
      <c r="DL40" t="s">
        <v>112</v>
      </c>
      <c r="DM40" t="s">
        <v>113</v>
      </c>
      <c r="DN40" t="s">
        <v>118</v>
      </c>
    </row>
    <row r="41" spans="1:118" x14ac:dyDescent="0.35">
      <c r="A41" t="s">
        <v>124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f>AVERAGE(rarefaction_analysis_ad_chao1[[#This Row],[depth-1_iter-1]:[depth-1_iter-10]])</f>
        <v>1</v>
      </c>
      <c r="M41">
        <v>37</v>
      </c>
      <c r="N41">
        <v>39</v>
      </c>
      <c r="O41">
        <v>39</v>
      </c>
      <c r="P41">
        <v>36.111111111111121</v>
      </c>
      <c r="Q41">
        <v>43</v>
      </c>
      <c r="R41">
        <v>39.5</v>
      </c>
      <c r="S41">
        <v>42.2</v>
      </c>
      <c r="T41">
        <v>35.5</v>
      </c>
      <c r="U41">
        <v>42.25</v>
      </c>
      <c r="V41">
        <v>44</v>
      </c>
      <c r="W41">
        <f>AVERAGE(rarefaction_analysis_ad_chao1[[#This Row],[depth-537_iter-1]:[depth-537_iter-10]])</f>
        <v>39.75611111111111</v>
      </c>
      <c r="X41">
        <v>48</v>
      </c>
      <c r="Y41">
        <v>41.666666666666657</v>
      </c>
      <c r="Z41">
        <v>40.5</v>
      </c>
      <c r="AA41">
        <v>41.5</v>
      </c>
      <c r="AB41">
        <v>38.166666666666657</v>
      </c>
      <c r="AC41">
        <v>38.5</v>
      </c>
      <c r="AD41">
        <v>43</v>
      </c>
      <c r="AE41">
        <v>42.5</v>
      </c>
      <c r="AF41">
        <v>39.428571428571431</v>
      </c>
      <c r="AG41">
        <v>42</v>
      </c>
      <c r="AH41">
        <f>AVERAGE(rarefaction_analysis_ad_chao1[[#This Row],[depth-1073_iter-1]:[depth-1073_iter-10]])</f>
        <v>41.526190476190479</v>
      </c>
      <c r="AI41">
        <v>42.2</v>
      </c>
      <c r="AJ41">
        <v>42.75</v>
      </c>
      <c r="AK41">
        <v>42.2</v>
      </c>
      <c r="AL41">
        <v>44</v>
      </c>
      <c r="AM41">
        <v>49.5</v>
      </c>
      <c r="AN41">
        <v>43</v>
      </c>
      <c r="AO41">
        <v>42</v>
      </c>
      <c r="AP41">
        <v>44</v>
      </c>
      <c r="AQ41">
        <v>41.166666666666657</v>
      </c>
      <c r="AR41">
        <v>41</v>
      </c>
      <c r="AS41">
        <f>AVERAGE(rarefaction_analysis_ad_chao1[[#This Row],[depth-1609_iter-1]:[depth-1609_iter-10]])</f>
        <v>43.181666666666658</v>
      </c>
      <c r="AT41">
        <v>41</v>
      </c>
      <c r="AU41">
        <v>39</v>
      </c>
      <c r="AV41">
        <v>42</v>
      </c>
      <c r="AW41">
        <v>41</v>
      </c>
      <c r="AX41">
        <v>41.333333333333336</v>
      </c>
      <c r="AY41">
        <v>42.75</v>
      </c>
      <c r="AZ41">
        <v>41.333333333333336</v>
      </c>
      <c r="BA41">
        <v>43.5</v>
      </c>
      <c r="BB41">
        <v>41</v>
      </c>
      <c r="BC41">
        <v>42</v>
      </c>
      <c r="BD41">
        <f>AVERAGE(rarefaction_analysis_ad_chao1[[#This Row],[depth-2145_iter-1]:[depth-2145_iter-10]])</f>
        <v>41.491666666666667</v>
      </c>
      <c r="BE41">
        <v>42.333333333333336</v>
      </c>
      <c r="BF41">
        <v>42</v>
      </c>
      <c r="BG41">
        <v>41</v>
      </c>
      <c r="BH41">
        <v>41</v>
      </c>
      <c r="BI41">
        <v>42.5</v>
      </c>
      <c r="BJ41">
        <v>42</v>
      </c>
      <c r="BK41">
        <v>41</v>
      </c>
      <c r="BL41">
        <v>42</v>
      </c>
      <c r="BM41">
        <v>42</v>
      </c>
      <c r="BN41">
        <v>42</v>
      </c>
      <c r="BO41">
        <f>AVERAGE(rarefaction_analysis_ad_chao1[[#This Row],[depth-2682_iter-1]:[depth-2682_iter-10]])</f>
        <v>41.783333333333339</v>
      </c>
      <c r="BP41">
        <v>42</v>
      </c>
      <c r="BQ41">
        <v>42</v>
      </c>
      <c r="BR41">
        <v>42</v>
      </c>
      <c r="BS41">
        <v>42</v>
      </c>
      <c r="BT41">
        <v>42</v>
      </c>
      <c r="BU41">
        <v>42</v>
      </c>
      <c r="BV41">
        <v>42</v>
      </c>
      <c r="BW41">
        <v>41</v>
      </c>
      <c r="BX41">
        <v>42</v>
      </c>
      <c r="BY41">
        <v>42</v>
      </c>
      <c r="BZ41">
        <f>AVERAGE(rarefaction_analysis_ad_chao1[[#This Row],[depth-3218_iter-1]:[depth-3218_iter-10]])</f>
        <v>41.9</v>
      </c>
      <c r="CA41">
        <v>42</v>
      </c>
      <c r="CB41">
        <v>42</v>
      </c>
      <c r="CC41">
        <v>42</v>
      </c>
      <c r="CD41">
        <v>42</v>
      </c>
      <c r="CE41">
        <v>42</v>
      </c>
      <c r="CF41">
        <v>42</v>
      </c>
      <c r="CG41">
        <v>42</v>
      </c>
      <c r="CH41">
        <v>42</v>
      </c>
      <c r="CI41">
        <v>42</v>
      </c>
      <c r="CJ41">
        <v>42</v>
      </c>
      <c r="CK41">
        <f>AVERAGE(rarefaction_analysis_ad_chao1[[#This Row],[depth-3754_iter-1]:[depth-3754_iter-10]])</f>
        <v>42</v>
      </c>
      <c r="CL41">
        <v>42</v>
      </c>
      <c r="CM41">
        <v>42</v>
      </c>
      <c r="CN41">
        <v>42</v>
      </c>
      <c r="CO41">
        <v>42</v>
      </c>
      <c r="CP41">
        <v>42</v>
      </c>
      <c r="CQ41">
        <v>42</v>
      </c>
      <c r="CR41">
        <v>42</v>
      </c>
      <c r="CS41">
        <v>42</v>
      </c>
      <c r="CT41">
        <v>42</v>
      </c>
      <c r="CU41">
        <v>42</v>
      </c>
      <c r="CV41">
        <f>AVERAGE(rarefaction_analysis_ad_chao1[[#This Row],[depth-4290_iter-1]:[depth-4290_iter-10]])</f>
        <v>42</v>
      </c>
      <c r="DG41" t="e">
        <f>AVERAGE(rarefaction_analysis_ad_chao1[[#This Row],[depth-4827_iter-1]:[depth-4827_iter-10]])</f>
        <v>#DIV/0!</v>
      </c>
      <c r="DH41" t="s">
        <v>125</v>
      </c>
      <c r="DI41">
        <v>437</v>
      </c>
      <c r="DJ41" t="s">
        <v>117</v>
      </c>
      <c r="DK41" t="s">
        <v>121</v>
      </c>
      <c r="DL41" t="s">
        <v>112</v>
      </c>
      <c r="DM41" t="s">
        <v>113</v>
      </c>
      <c r="DN41" t="s">
        <v>118</v>
      </c>
    </row>
    <row r="42" spans="1:118" x14ac:dyDescent="0.35">
      <c r="A42" t="s">
        <v>126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f>AVERAGE(rarefaction_analysis_ad_chao1[[#This Row],[depth-1_iter-1]:[depth-1_iter-10]])</f>
        <v>1</v>
      </c>
      <c r="M42">
        <v>46</v>
      </c>
      <c r="N42">
        <v>41.5</v>
      </c>
      <c r="O42">
        <v>40.142857142857146</v>
      </c>
      <c r="P42">
        <v>37</v>
      </c>
      <c r="Q42">
        <v>40</v>
      </c>
      <c r="R42">
        <v>47</v>
      </c>
      <c r="S42">
        <v>42.142857142857146</v>
      </c>
      <c r="T42">
        <v>40.25</v>
      </c>
      <c r="U42">
        <v>40</v>
      </c>
      <c r="V42">
        <v>41</v>
      </c>
      <c r="W42">
        <f>AVERAGE(rarefaction_analysis_ad_chao1[[#This Row],[depth-537_iter-1]:[depth-537_iter-10]])</f>
        <v>41.503571428571426</v>
      </c>
      <c r="X42">
        <v>40.5</v>
      </c>
      <c r="Y42">
        <v>43</v>
      </c>
      <c r="Z42">
        <v>38.166666666666657</v>
      </c>
      <c r="AA42">
        <v>44.5</v>
      </c>
      <c r="AB42">
        <v>45</v>
      </c>
      <c r="AC42">
        <v>39.333333333333336</v>
      </c>
      <c r="AD42">
        <v>46</v>
      </c>
      <c r="AE42">
        <v>39</v>
      </c>
      <c r="AF42">
        <v>43.5</v>
      </c>
      <c r="AG42">
        <v>41.2</v>
      </c>
      <c r="AH42">
        <f>AVERAGE(rarefaction_analysis_ad_chao1[[#This Row],[depth-1073_iter-1]:[depth-1073_iter-10]])</f>
        <v>42.019999999999996</v>
      </c>
      <c r="AI42">
        <v>41.25</v>
      </c>
      <c r="AJ42">
        <v>45</v>
      </c>
      <c r="AK42">
        <v>44</v>
      </c>
      <c r="AL42">
        <v>42.25</v>
      </c>
      <c r="AM42">
        <v>48</v>
      </c>
      <c r="AN42">
        <v>46</v>
      </c>
      <c r="AO42">
        <v>43</v>
      </c>
      <c r="AP42">
        <v>42</v>
      </c>
      <c r="AQ42">
        <v>46.333333333333336</v>
      </c>
      <c r="AR42">
        <v>43</v>
      </c>
      <c r="AS42">
        <f>AVERAGE(rarefaction_analysis_ad_chao1[[#This Row],[depth-1609_iter-1]:[depth-1609_iter-10]])</f>
        <v>44.083333333333329</v>
      </c>
      <c r="AT42">
        <v>42.333333333333336</v>
      </c>
      <c r="AU42">
        <v>42.333333333333336</v>
      </c>
      <c r="AV42">
        <v>43</v>
      </c>
      <c r="AW42">
        <v>43.333333333333336</v>
      </c>
      <c r="AX42">
        <v>41</v>
      </c>
      <c r="AY42">
        <v>43.5</v>
      </c>
      <c r="AZ42">
        <v>42.75</v>
      </c>
      <c r="BA42">
        <v>42</v>
      </c>
      <c r="BB42">
        <v>43</v>
      </c>
      <c r="BC42">
        <v>43.333333333333336</v>
      </c>
      <c r="BD42">
        <f>AVERAGE(rarefaction_analysis_ad_chao1[[#This Row],[depth-2145_iter-1]:[depth-2145_iter-10]])</f>
        <v>42.658333333333331</v>
      </c>
      <c r="BE42">
        <v>43.5</v>
      </c>
      <c r="BF42">
        <v>43</v>
      </c>
      <c r="BG42">
        <v>43</v>
      </c>
      <c r="BH42">
        <v>43.5</v>
      </c>
      <c r="BI42">
        <v>43.333333333333336</v>
      </c>
      <c r="BJ42">
        <v>44.5</v>
      </c>
      <c r="BK42">
        <v>46</v>
      </c>
      <c r="BL42">
        <v>43.333333333333336</v>
      </c>
      <c r="BM42">
        <v>42</v>
      </c>
      <c r="BN42">
        <v>43</v>
      </c>
      <c r="BO42">
        <f>AVERAGE(rarefaction_analysis_ad_chao1[[#This Row],[depth-2682_iter-1]:[depth-2682_iter-10]])</f>
        <v>43.516666666666666</v>
      </c>
      <c r="BP42">
        <v>43</v>
      </c>
      <c r="BQ42">
        <v>43</v>
      </c>
      <c r="BR42">
        <v>42</v>
      </c>
      <c r="BS42">
        <v>43</v>
      </c>
      <c r="BT42">
        <v>43</v>
      </c>
      <c r="BU42">
        <v>43</v>
      </c>
      <c r="BV42">
        <v>43</v>
      </c>
      <c r="BW42">
        <v>43</v>
      </c>
      <c r="BX42">
        <v>43</v>
      </c>
      <c r="BY42">
        <v>43</v>
      </c>
      <c r="BZ42">
        <f>AVERAGE(rarefaction_analysis_ad_chao1[[#This Row],[depth-3218_iter-1]:[depth-3218_iter-10]])</f>
        <v>42.9</v>
      </c>
      <c r="CA42">
        <v>43</v>
      </c>
      <c r="CB42">
        <v>43</v>
      </c>
      <c r="CC42">
        <v>43</v>
      </c>
      <c r="CD42">
        <v>43</v>
      </c>
      <c r="CE42">
        <v>43</v>
      </c>
      <c r="CF42">
        <v>43</v>
      </c>
      <c r="CG42">
        <v>43</v>
      </c>
      <c r="CH42">
        <v>43</v>
      </c>
      <c r="CI42">
        <v>43</v>
      </c>
      <c r="CJ42">
        <v>43</v>
      </c>
      <c r="CK42">
        <f>AVERAGE(rarefaction_analysis_ad_chao1[[#This Row],[depth-3754_iter-1]:[depth-3754_iter-10]])</f>
        <v>43</v>
      </c>
      <c r="CV42" t="e">
        <f>AVERAGE(rarefaction_analysis_ad_chao1[[#This Row],[depth-4290_iter-1]:[depth-4290_iter-10]])</f>
        <v>#DIV/0!</v>
      </c>
      <c r="DG42" t="e">
        <f>AVERAGE(rarefaction_analysis_ad_chao1[[#This Row],[depth-4827_iter-1]:[depth-4827_iter-10]])</f>
        <v>#DIV/0!</v>
      </c>
      <c r="DH42" t="s">
        <v>127</v>
      </c>
      <c r="DI42">
        <v>435</v>
      </c>
      <c r="DJ42" t="s">
        <v>117</v>
      </c>
      <c r="DK42" t="s">
        <v>121</v>
      </c>
      <c r="DL42" t="s">
        <v>112</v>
      </c>
      <c r="DM42" t="s">
        <v>113</v>
      </c>
      <c r="DN42" t="s">
        <v>118</v>
      </c>
    </row>
    <row r="43" spans="1:118" x14ac:dyDescent="0.35">
      <c r="A43" t="s">
        <v>128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f>AVERAGE(rarefaction_analysis_ad_chao1[[#This Row],[depth-1_iter-1]:[depth-1_iter-10]])</f>
        <v>1</v>
      </c>
      <c r="M43">
        <v>37</v>
      </c>
      <c r="N43">
        <v>35.75</v>
      </c>
      <c r="O43">
        <v>34</v>
      </c>
      <c r="P43">
        <v>37.875</v>
      </c>
      <c r="Q43">
        <v>30.6</v>
      </c>
      <c r="R43">
        <v>34.200000000000003</v>
      </c>
      <c r="S43">
        <v>31.2</v>
      </c>
      <c r="T43">
        <v>38</v>
      </c>
      <c r="U43">
        <v>53</v>
      </c>
      <c r="V43">
        <v>33.200000000000003</v>
      </c>
      <c r="W43">
        <f>AVERAGE(rarefaction_analysis_ad_chao1[[#This Row],[depth-537_iter-1]:[depth-537_iter-10]])</f>
        <v>36.482500000000002</v>
      </c>
      <c r="X43">
        <v>36.6</v>
      </c>
      <c r="Y43">
        <v>37.6</v>
      </c>
      <c r="Z43">
        <v>37</v>
      </c>
      <c r="AA43">
        <v>33</v>
      </c>
      <c r="AB43">
        <v>36.125</v>
      </c>
      <c r="AC43">
        <v>37</v>
      </c>
      <c r="AD43">
        <v>35.75</v>
      </c>
      <c r="AE43">
        <v>38</v>
      </c>
      <c r="AF43">
        <v>34</v>
      </c>
      <c r="AG43">
        <v>36</v>
      </c>
      <c r="AH43">
        <f>AVERAGE(rarefaction_analysis_ad_chao1[[#This Row],[depth-1073_iter-1]:[depth-1073_iter-10]])</f>
        <v>36.107500000000002</v>
      </c>
      <c r="AI43">
        <v>37</v>
      </c>
      <c r="AJ43">
        <v>39</v>
      </c>
      <c r="AK43">
        <v>36</v>
      </c>
      <c r="AL43">
        <v>36.333333333333336</v>
      </c>
      <c r="AM43">
        <v>36.333333333333336</v>
      </c>
      <c r="AN43">
        <v>35</v>
      </c>
      <c r="AO43">
        <v>37.5</v>
      </c>
      <c r="AP43">
        <v>37.5</v>
      </c>
      <c r="AQ43">
        <v>36</v>
      </c>
      <c r="AR43">
        <v>36</v>
      </c>
      <c r="AS43">
        <f>AVERAGE(rarefaction_analysis_ad_chao1[[#This Row],[depth-1609_iter-1]:[depth-1609_iter-10]])</f>
        <v>36.666666666666671</v>
      </c>
      <c r="AT43">
        <v>36</v>
      </c>
      <c r="AU43">
        <v>37</v>
      </c>
      <c r="AV43">
        <v>37</v>
      </c>
      <c r="AW43">
        <v>37</v>
      </c>
      <c r="AX43">
        <v>37</v>
      </c>
      <c r="AY43">
        <v>37</v>
      </c>
      <c r="AZ43">
        <v>36</v>
      </c>
      <c r="BA43">
        <v>36</v>
      </c>
      <c r="BB43">
        <v>37.25</v>
      </c>
      <c r="BC43">
        <v>37</v>
      </c>
      <c r="BD43">
        <f>AVERAGE(rarefaction_analysis_ad_chao1[[#This Row],[depth-2145_iter-1]:[depth-2145_iter-10]])</f>
        <v>36.725000000000001</v>
      </c>
      <c r="BE43">
        <v>37</v>
      </c>
      <c r="BF43">
        <v>37</v>
      </c>
      <c r="BG43">
        <v>37</v>
      </c>
      <c r="BH43">
        <v>37</v>
      </c>
      <c r="BI43">
        <v>37</v>
      </c>
      <c r="BJ43">
        <v>37</v>
      </c>
      <c r="BK43">
        <v>37.5</v>
      </c>
      <c r="BL43">
        <v>37</v>
      </c>
      <c r="BM43">
        <v>37</v>
      </c>
      <c r="BN43">
        <v>37</v>
      </c>
      <c r="BO43">
        <f>AVERAGE(rarefaction_analysis_ad_chao1[[#This Row],[depth-2682_iter-1]:[depth-2682_iter-10]])</f>
        <v>37.049999999999997</v>
      </c>
      <c r="BP43">
        <v>37</v>
      </c>
      <c r="BQ43">
        <v>37</v>
      </c>
      <c r="BR43">
        <v>37</v>
      </c>
      <c r="BS43">
        <v>37</v>
      </c>
      <c r="BT43">
        <v>37</v>
      </c>
      <c r="BU43">
        <v>37</v>
      </c>
      <c r="BV43">
        <v>37</v>
      </c>
      <c r="BW43">
        <v>37</v>
      </c>
      <c r="BX43">
        <v>37</v>
      </c>
      <c r="BY43">
        <v>37</v>
      </c>
      <c r="BZ43">
        <f>AVERAGE(rarefaction_analysis_ad_chao1[[#This Row],[depth-3218_iter-1]:[depth-3218_iter-10]])</f>
        <v>37</v>
      </c>
      <c r="CA43">
        <v>37</v>
      </c>
      <c r="CB43">
        <v>37</v>
      </c>
      <c r="CC43">
        <v>37</v>
      </c>
      <c r="CD43">
        <v>37</v>
      </c>
      <c r="CE43">
        <v>37</v>
      </c>
      <c r="CF43">
        <v>37</v>
      </c>
      <c r="CG43">
        <v>37</v>
      </c>
      <c r="CH43">
        <v>37</v>
      </c>
      <c r="CI43">
        <v>37</v>
      </c>
      <c r="CJ43">
        <v>37</v>
      </c>
      <c r="CK43">
        <f>AVERAGE(rarefaction_analysis_ad_chao1[[#This Row],[depth-3754_iter-1]:[depth-3754_iter-10]])</f>
        <v>37</v>
      </c>
      <c r="CV43" t="e">
        <f>AVERAGE(rarefaction_analysis_ad_chao1[[#This Row],[depth-4290_iter-1]:[depth-4290_iter-10]])</f>
        <v>#DIV/0!</v>
      </c>
      <c r="DG43" t="e">
        <f>AVERAGE(rarefaction_analysis_ad_chao1[[#This Row],[depth-4827_iter-1]:[depth-4827_iter-10]])</f>
        <v>#DIV/0!</v>
      </c>
      <c r="DH43" t="s">
        <v>129</v>
      </c>
      <c r="DI43">
        <v>437</v>
      </c>
      <c r="DJ43" t="s">
        <v>117</v>
      </c>
      <c r="DK43" t="s">
        <v>121</v>
      </c>
      <c r="DL43" t="s">
        <v>112</v>
      </c>
      <c r="DM43" t="s">
        <v>113</v>
      </c>
      <c r="DN43" t="s">
        <v>118</v>
      </c>
    </row>
    <row r="44" spans="1:118" x14ac:dyDescent="0.35">
      <c r="A44" t="s">
        <v>130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f>AVERAGE(rarefaction_analysis_ad_chao1[[#This Row],[depth-1_iter-1]:[depth-1_iter-10]])</f>
        <v>1</v>
      </c>
      <c r="M44">
        <v>48.142857142857146</v>
      </c>
      <c r="N44">
        <v>40.666666666666657</v>
      </c>
      <c r="O44">
        <v>53</v>
      </c>
      <c r="P44">
        <v>42.142857142857146</v>
      </c>
      <c r="Q44">
        <v>48</v>
      </c>
      <c r="R44">
        <v>52</v>
      </c>
      <c r="S44">
        <v>46</v>
      </c>
      <c r="T44">
        <v>42.8</v>
      </c>
      <c r="U44">
        <v>46.666666666666657</v>
      </c>
      <c r="V44">
        <v>39</v>
      </c>
      <c r="W44">
        <f>AVERAGE(rarefaction_analysis_ad_chao1[[#This Row],[depth-537_iter-1]:[depth-537_iter-10]])</f>
        <v>45.841904761904765</v>
      </c>
      <c r="X44">
        <v>46.111111111111121</v>
      </c>
      <c r="Y44">
        <v>48</v>
      </c>
      <c r="Z44">
        <v>55</v>
      </c>
      <c r="AA44">
        <v>44.2</v>
      </c>
      <c r="AB44">
        <v>47.666666666666657</v>
      </c>
      <c r="AC44">
        <v>43.5</v>
      </c>
      <c r="AD44">
        <v>43.375</v>
      </c>
      <c r="AE44">
        <v>51</v>
      </c>
      <c r="AF44">
        <v>47</v>
      </c>
      <c r="AG44">
        <v>46.25</v>
      </c>
      <c r="AH44">
        <f>AVERAGE(rarefaction_analysis_ad_chao1[[#This Row],[depth-1073_iter-1]:[depth-1073_iter-10]])</f>
        <v>47.210277777777776</v>
      </c>
      <c r="AI44">
        <v>46.2</v>
      </c>
      <c r="AJ44">
        <v>46.142857142857146</v>
      </c>
      <c r="AK44">
        <v>51</v>
      </c>
      <c r="AL44">
        <v>48.111111111111121</v>
      </c>
      <c r="AM44">
        <v>48.857142857142847</v>
      </c>
      <c r="AN44">
        <v>47</v>
      </c>
      <c r="AO44">
        <v>46.6</v>
      </c>
      <c r="AP44">
        <v>49</v>
      </c>
      <c r="AQ44">
        <v>46.5</v>
      </c>
      <c r="AR44">
        <v>50</v>
      </c>
      <c r="AS44">
        <f>AVERAGE(rarefaction_analysis_ad_chao1[[#This Row],[depth-1609_iter-1]:[depth-1609_iter-10]])</f>
        <v>47.941111111111113</v>
      </c>
      <c r="AT44">
        <v>47</v>
      </c>
      <c r="AU44">
        <v>47</v>
      </c>
      <c r="AV44">
        <v>48</v>
      </c>
      <c r="AW44">
        <v>48</v>
      </c>
      <c r="AX44">
        <v>47</v>
      </c>
      <c r="AY44">
        <v>48</v>
      </c>
      <c r="AZ44">
        <v>47.75</v>
      </c>
      <c r="BA44">
        <v>48</v>
      </c>
      <c r="BB44">
        <v>47.333333333333336</v>
      </c>
      <c r="BC44">
        <v>48</v>
      </c>
      <c r="BD44">
        <f>AVERAGE(rarefaction_analysis_ad_chao1[[#This Row],[depth-2145_iter-1]:[depth-2145_iter-10]])</f>
        <v>47.608333333333334</v>
      </c>
      <c r="BE44">
        <v>48</v>
      </c>
      <c r="BF44">
        <v>47</v>
      </c>
      <c r="BG44">
        <v>48</v>
      </c>
      <c r="BH44">
        <v>49.5</v>
      </c>
      <c r="BI44">
        <v>49</v>
      </c>
      <c r="BJ44">
        <v>48</v>
      </c>
      <c r="BK44">
        <v>48</v>
      </c>
      <c r="BL44">
        <v>48</v>
      </c>
      <c r="BM44">
        <v>48</v>
      </c>
      <c r="BN44">
        <v>47</v>
      </c>
      <c r="BO44">
        <f>AVERAGE(rarefaction_analysis_ad_chao1[[#This Row],[depth-2682_iter-1]:[depth-2682_iter-10]])</f>
        <v>48.05</v>
      </c>
      <c r="BP44">
        <v>48</v>
      </c>
      <c r="BQ44">
        <v>48.5</v>
      </c>
      <c r="BR44">
        <v>48</v>
      </c>
      <c r="BS44">
        <v>48</v>
      </c>
      <c r="BT44">
        <v>48</v>
      </c>
      <c r="BU44">
        <v>48</v>
      </c>
      <c r="BV44">
        <v>48</v>
      </c>
      <c r="BW44">
        <v>48</v>
      </c>
      <c r="BX44">
        <v>48</v>
      </c>
      <c r="BY44">
        <v>48</v>
      </c>
      <c r="BZ44">
        <f>AVERAGE(rarefaction_analysis_ad_chao1[[#This Row],[depth-3218_iter-1]:[depth-3218_iter-10]])</f>
        <v>48.05</v>
      </c>
      <c r="CA44">
        <v>48</v>
      </c>
      <c r="CB44">
        <v>48</v>
      </c>
      <c r="CC44">
        <v>48</v>
      </c>
      <c r="CD44">
        <v>48</v>
      </c>
      <c r="CE44">
        <v>48</v>
      </c>
      <c r="CF44">
        <v>48</v>
      </c>
      <c r="CG44">
        <v>48</v>
      </c>
      <c r="CH44">
        <v>48</v>
      </c>
      <c r="CI44">
        <v>48</v>
      </c>
      <c r="CJ44">
        <v>48</v>
      </c>
      <c r="CK44">
        <f>AVERAGE(rarefaction_analysis_ad_chao1[[#This Row],[depth-3754_iter-1]:[depth-3754_iter-10]])</f>
        <v>48</v>
      </c>
      <c r="CV44" t="e">
        <f>AVERAGE(rarefaction_analysis_ad_chao1[[#This Row],[depth-4290_iter-1]:[depth-4290_iter-10]])</f>
        <v>#DIV/0!</v>
      </c>
      <c r="DG44" t="e">
        <f>AVERAGE(rarefaction_analysis_ad_chao1[[#This Row],[depth-4827_iter-1]:[depth-4827_iter-10]])</f>
        <v>#DIV/0!</v>
      </c>
      <c r="DH44" t="s">
        <v>131</v>
      </c>
      <c r="DI44">
        <v>437</v>
      </c>
      <c r="DJ44" t="s">
        <v>117</v>
      </c>
      <c r="DK44" t="s">
        <v>121</v>
      </c>
      <c r="DL44" t="s">
        <v>112</v>
      </c>
      <c r="DM44" t="s">
        <v>113</v>
      </c>
      <c r="DN44" t="s">
        <v>118</v>
      </c>
    </row>
    <row r="45" spans="1:118" x14ac:dyDescent="0.35">
      <c r="A45" t="s">
        <v>132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f>AVERAGE(rarefaction_analysis_ad_chao1[[#This Row],[depth-1_iter-1]:[depth-1_iter-10]])</f>
        <v>1</v>
      </c>
      <c r="M45">
        <v>26.5</v>
      </c>
      <c r="N45">
        <v>26.5</v>
      </c>
      <c r="O45">
        <v>30</v>
      </c>
      <c r="P45">
        <v>35</v>
      </c>
      <c r="Q45">
        <v>29.5</v>
      </c>
      <c r="R45">
        <v>33.666666666666664</v>
      </c>
      <c r="S45">
        <v>38.6</v>
      </c>
      <c r="T45">
        <v>30.666666666666668</v>
      </c>
      <c r="U45">
        <v>35</v>
      </c>
      <c r="V45">
        <v>42</v>
      </c>
      <c r="W45">
        <f>AVERAGE(rarefaction_analysis_ad_chao1[[#This Row],[depth-537_iter-1]:[depth-537_iter-10]])</f>
        <v>32.743333333333325</v>
      </c>
      <c r="X45">
        <v>29.333333333333329</v>
      </c>
      <c r="Y45">
        <v>35.5</v>
      </c>
      <c r="Z45">
        <v>35.857142857142854</v>
      </c>
      <c r="AA45">
        <v>33.5</v>
      </c>
      <c r="AB45">
        <v>36</v>
      </c>
      <c r="AC45">
        <v>35</v>
      </c>
      <c r="AD45">
        <v>28.5</v>
      </c>
      <c r="AE45">
        <v>35</v>
      </c>
      <c r="AF45">
        <v>36.5</v>
      </c>
      <c r="AG45">
        <v>34.166666666666664</v>
      </c>
      <c r="AH45">
        <f>AVERAGE(rarefaction_analysis_ad_chao1[[#This Row],[depth-1073_iter-1]:[depth-1073_iter-10]])</f>
        <v>33.935714285714283</v>
      </c>
      <c r="AI45">
        <v>35</v>
      </c>
      <c r="AJ45">
        <v>37</v>
      </c>
      <c r="AK45">
        <v>36.5</v>
      </c>
      <c r="AL45">
        <v>35</v>
      </c>
      <c r="AM45">
        <v>35</v>
      </c>
      <c r="AN45">
        <v>35.6</v>
      </c>
      <c r="AO45">
        <v>35</v>
      </c>
      <c r="AP45">
        <v>35</v>
      </c>
      <c r="AQ45">
        <v>35</v>
      </c>
      <c r="AR45">
        <v>34</v>
      </c>
      <c r="AS45">
        <f>AVERAGE(rarefaction_analysis_ad_chao1[[#This Row],[depth-1609_iter-1]:[depth-1609_iter-10]])</f>
        <v>35.31</v>
      </c>
      <c r="AT45">
        <v>35</v>
      </c>
      <c r="AU45">
        <v>35</v>
      </c>
      <c r="AV45">
        <v>35</v>
      </c>
      <c r="AW45">
        <v>35</v>
      </c>
      <c r="AX45">
        <v>35</v>
      </c>
      <c r="AY45">
        <v>35.333333333333336</v>
      </c>
      <c r="AZ45">
        <v>35</v>
      </c>
      <c r="BA45">
        <v>35</v>
      </c>
      <c r="BB45">
        <v>35</v>
      </c>
      <c r="BC45">
        <v>35</v>
      </c>
      <c r="BD45">
        <f>AVERAGE(rarefaction_analysis_ad_chao1[[#This Row],[depth-2145_iter-1]:[depth-2145_iter-10]])</f>
        <v>35.033333333333339</v>
      </c>
      <c r="BE45">
        <v>35</v>
      </c>
      <c r="BF45">
        <v>35</v>
      </c>
      <c r="BG45">
        <v>35</v>
      </c>
      <c r="BH45">
        <v>35</v>
      </c>
      <c r="BI45">
        <v>35</v>
      </c>
      <c r="BJ45">
        <v>35</v>
      </c>
      <c r="BK45">
        <v>35</v>
      </c>
      <c r="BL45">
        <v>35</v>
      </c>
      <c r="BM45">
        <v>35</v>
      </c>
      <c r="BN45">
        <v>35</v>
      </c>
      <c r="BO45">
        <f>AVERAGE(rarefaction_analysis_ad_chao1[[#This Row],[depth-2682_iter-1]:[depth-2682_iter-10]])</f>
        <v>35</v>
      </c>
      <c r="BP45">
        <v>35</v>
      </c>
      <c r="BQ45">
        <v>35</v>
      </c>
      <c r="BR45">
        <v>35</v>
      </c>
      <c r="BS45">
        <v>35</v>
      </c>
      <c r="BT45">
        <v>35</v>
      </c>
      <c r="BU45">
        <v>35</v>
      </c>
      <c r="BV45">
        <v>35</v>
      </c>
      <c r="BW45">
        <v>35</v>
      </c>
      <c r="BX45">
        <v>35</v>
      </c>
      <c r="BY45">
        <v>35</v>
      </c>
      <c r="BZ45">
        <f>AVERAGE(rarefaction_analysis_ad_chao1[[#This Row],[depth-3218_iter-1]:[depth-3218_iter-10]])</f>
        <v>35</v>
      </c>
      <c r="CA45">
        <v>35</v>
      </c>
      <c r="CB45">
        <v>35</v>
      </c>
      <c r="CC45">
        <v>35</v>
      </c>
      <c r="CD45">
        <v>35</v>
      </c>
      <c r="CE45">
        <v>35</v>
      </c>
      <c r="CF45">
        <v>35</v>
      </c>
      <c r="CG45">
        <v>35</v>
      </c>
      <c r="CH45">
        <v>35</v>
      </c>
      <c r="CI45">
        <v>35</v>
      </c>
      <c r="CJ45">
        <v>35</v>
      </c>
      <c r="CK45">
        <f>AVERAGE(rarefaction_analysis_ad_chao1[[#This Row],[depth-3754_iter-1]:[depth-3754_iter-10]])</f>
        <v>35</v>
      </c>
      <c r="CV45" t="e">
        <f>AVERAGE(rarefaction_analysis_ad_chao1[[#This Row],[depth-4290_iter-1]:[depth-4290_iter-10]])</f>
        <v>#DIV/0!</v>
      </c>
      <c r="DG45" t="e">
        <f>AVERAGE(rarefaction_analysis_ad_chao1[[#This Row],[depth-4827_iter-1]:[depth-4827_iter-10]])</f>
        <v>#DIV/0!</v>
      </c>
      <c r="DH45" t="s">
        <v>133</v>
      </c>
      <c r="DI45">
        <v>456</v>
      </c>
      <c r="DJ45" t="s">
        <v>117</v>
      </c>
      <c r="DK45" t="s">
        <v>111</v>
      </c>
      <c r="DL45" t="s">
        <v>112</v>
      </c>
      <c r="DM45" t="s">
        <v>113</v>
      </c>
      <c r="DN45" t="s">
        <v>118</v>
      </c>
    </row>
    <row r="46" spans="1:118" x14ac:dyDescent="0.35">
      <c r="A46" t="s">
        <v>134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f>AVERAGE(rarefaction_analysis_ad_chao1[[#This Row],[depth-1_iter-1]:[depth-1_iter-10]])</f>
        <v>1</v>
      </c>
      <c r="M46">
        <v>38.5</v>
      </c>
      <c r="N46">
        <v>38.5</v>
      </c>
      <c r="O46">
        <v>46.6</v>
      </c>
      <c r="P46">
        <v>35.25</v>
      </c>
      <c r="Q46">
        <v>38.5</v>
      </c>
      <c r="R46">
        <v>51</v>
      </c>
      <c r="S46">
        <v>47</v>
      </c>
      <c r="T46">
        <v>37.25</v>
      </c>
      <c r="U46">
        <v>39.200000000000003</v>
      </c>
      <c r="V46">
        <v>42.75</v>
      </c>
      <c r="W46">
        <f>AVERAGE(rarefaction_analysis_ad_chao1[[#This Row],[depth-537_iter-1]:[depth-537_iter-10]])</f>
        <v>41.454999999999998</v>
      </c>
      <c r="X46">
        <v>41.75</v>
      </c>
      <c r="Y46">
        <v>41.25</v>
      </c>
      <c r="Z46">
        <v>48.2</v>
      </c>
      <c r="AA46">
        <v>43</v>
      </c>
      <c r="AB46">
        <v>44.5</v>
      </c>
      <c r="AC46">
        <v>42</v>
      </c>
      <c r="AD46">
        <v>42.5</v>
      </c>
      <c r="AE46">
        <v>39.25</v>
      </c>
      <c r="AF46">
        <v>43.5</v>
      </c>
      <c r="AG46">
        <v>46.333333333333336</v>
      </c>
      <c r="AH46">
        <f>AVERAGE(rarefaction_analysis_ad_chao1[[#This Row],[depth-1073_iter-1]:[depth-1073_iter-10]])</f>
        <v>43.228333333333332</v>
      </c>
      <c r="AI46">
        <v>47.333333333333336</v>
      </c>
      <c r="AJ46">
        <v>46.333333333333336</v>
      </c>
      <c r="AK46">
        <v>46.5</v>
      </c>
      <c r="AL46">
        <v>47.333333333333336</v>
      </c>
      <c r="AM46">
        <v>50</v>
      </c>
      <c r="AN46">
        <v>44</v>
      </c>
      <c r="AO46">
        <v>47.333333333333336</v>
      </c>
      <c r="AP46">
        <v>43</v>
      </c>
      <c r="AQ46">
        <v>43.5</v>
      </c>
      <c r="AR46">
        <v>50.25</v>
      </c>
      <c r="AS46">
        <f>AVERAGE(rarefaction_analysis_ad_chao1[[#This Row],[depth-1609_iter-1]:[depth-1609_iter-10]])</f>
        <v>46.55833333333333</v>
      </c>
      <c r="AT46">
        <v>44.75</v>
      </c>
      <c r="AU46">
        <v>45.142857142857146</v>
      </c>
      <c r="AV46">
        <v>46</v>
      </c>
      <c r="AW46">
        <v>42.5</v>
      </c>
      <c r="AX46">
        <v>45.5</v>
      </c>
      <c r="AY46">
        <v>44.75</v>
      </c>
      <c r="AZ46">
        <v>52.5</v>
      </c>
      <c r="BA46">
        <v>44.25</v>
      </c>
      <c r="BB46">
        <v>44</v>
      </c>
      <c r="BC46">
        <v>45.6</v>
      </c>
      <c r="BD46">
        <f>AVERAGE(rarefaction_analysis_ad_chao1[[#This Row],[depth-2145_iter-1]:[depth-2145_iter-10]])</f>
        <v>45.499285714285712</v>
      </c>
      <c r="BE46">
        <v>44</v>
      </c>
      <c r="BF46">
        <v>44</v>
      </c>
      <c r="BG46">
        <v>44.333333333333336</v>
      </c>
      <c r="BH46">
        <v>45</v>
      </c>
      <c r="BI46">
        <v>45.6</v>
      </c>
      <c r="BJ46">
        <v>44.75</v>
      </c>
      <c r="BK46">
        <v>46.5</v>
      </c>
      <c r="BL46">
        <v>43</v>
      </c>
      <c r="BM46">
        <v>43</v>
      </c>
      <c r="BN46">
        <v>44.75</v>
      </c>
      <c r="BO46">
        <f>AVERAGE(rarefaction_analysis_ad_chao1[[#This Row],[depth-2682_iter-1]:[depth-2682_iter-10]])</f>
        <v>44.493333333333332</v>
      </c>
      <c r="BP46">
        <v>46.5</v>
      </c>
      <c r="BQ46">
        <v>44</v>
      </c>
      <c r="BR46">
        <v>45</v>
      </c>
      <c r="BS46">
        <v>45.75</v>
      </c>
      <c r="BT46">
        <v>46</v>
      </c>
      <c r="BU46">
        <v>45</v>
      </c>
      <c r="BV46">
        <v>44</v>
      </c>
      <c r="BW46">
        <v>45</v>
      </c>
      <c r="BX46">
        <v>45.333333333333336</v>
      </c>
      <c r="BY46">
        <v>45</v>
      </c>
      <c r="BZ46">
        <f>AVERAGE(rarefaction_analysis_ad_chao1[[#This Row],[depth-3218_iter-1]:[depth-3218_iter-10]])</f>
        <v>45.158333333333331</v>
      </c>
      <c r="CA46">
        <v>45</v>
      </c>
      <c r="CB46">
        <v>45</v>
      </c>
      <c r="CC46">
        <v>45</v>
      </c>
      <c r="CD46">
        <v>45</v>
      </c>
      <c r="CE46">
        <v>44</v>
      </c>
      <c r="CF46">
        <v>45</v>
      </c>
      <c r="CG46">
        <v>45</v>
      </c>
      <c r="CH46">
        <v>45</v>
      </c>
      <c r="CI46">
        <v>45</v>
      </c>
      <c r="CJ46">
        <v>45</v>
      </c>
      <c r="CK46">
        <f>AVERAGE(rarefaction_analysis_ad_chao1[[#This Row],[depth-3754_iter-1]:[depth-3754_iter-10]])</f>
        <v>44.9</v>
      </c>
      <c r="CL46">
        <v>45</v>
      </c>
      <c r="CM46">
        <v>45</v>
      </c>
      <c r="CN46">
        <v>45</v>
      </c>
      <c r="CO46">
        <v>45</v>
      </c>
      <c r="CP46">
        <v>46</v>
      </c>
      <c r="CQ46">
        <v>45</v>
      </c>
      <c r="CR46">
        <v>45</v>
      </c>
      <c r="CS46">
        <v>45</v>
      </c>
      <c r="CT46">
        <v>45</v>
      </c>
      <c r="CU46">
        <v>45</v>
      </c>
      <c r="CV46">
        <f>AVERAGE(rarefaction_analysis_ad_chao1[[#This Row],[depth-4290_iter-1]:[depth-4290_iter-10]])</f>
        <v>45.1</v>
      </c>
      <c r="DG46" t="e">
        <f>AVERAGE(rarefaction_analysis_ad_chao1[[#This Row],[depth-4827_iter-1]:[depth-4827_iter-10]])</f>
        <v>#DIV/0!</v>
      </c>
      <c r="DH46" t="s">
        <v>135</v>
      </c>
      <c r="DI46">
        <v>456</v>
      </c>
      <c r="DJ46" t="s">
        <v>117</v>
      </c>
      <c r="DK46" t="s">
        <v>111</v>
      </c>
      <c r="DL46" t="s">
        <v>112</v>
      </c>
      <c r="DM46" t="s">
        <v>113</v>
      </c>
      <c r="DN46" t="s">
        <v>118</v>
      </c>
    </row>
    <row r="47" spans="1:118" x14ac:dyDescent="0.35">
      <c r="A47" t="s">
        <v>138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f>AVERAGE(rarefaction_analysis_ad_chao1[[#This Row],[depth-1_iter-1]:[depth-1_iter-10]])</f>
        <v>1</v>
      </c>
      <c r="M47">
        <v>50.333333333333336</v>
      </c>
      <c r="N47">
        <v>50.5</v>
      </c>
      <c r="O47">
        <v>46.625</v>
      </c>
      <c r="P47">
        <v>61.5</v>
      </c>
      <c r="Q47">
        <v>47.666666666666657</v>
      </c>
      <c r="R47">
        <v>41.857142857142847</v>
      </c>
      <c r="S47">
        <v>45.625</v>
      </c>
      <c r="T47">
        <v>46.5</v>
      </c>
      <c r="U47">
        <v>46.5</v>
      </c>
      <c r="V47">
        <v>49.8</v>
      </c>
      <c r="W47">
        <f>AVERAGE(rarefaction_analysis_ad_chao1[[#This Row],[depth-537_iter-1]:[depth-537_iter-10]])</f>
        <v>48.690714285714286</v>
      </c>
      <c r="X47">
        <v>48.5</v>
      </c>
      <c r="Y47">
        <v>48.75</v>
      </c>
      <c r="Z47">
        <v>50.875</v>
      </c>
      <c r="AA47">
        <v>46.142857142857146</v>
      </c>
      <c r="AB47">
        <v>46.5</v>
      </c>
      <c r="AC47">
        <v>49.666666666666657</v>
      </c>
      <c r="AD47">
        <v>48.333333333333336</v>
      </c>
      <c r="AE47">
        <v>48.5</v>
      </c>
      <c r="AF47">
        <v>51.75</v>
      </c>
      <c r="AG47">
        <v>53.2</v>
      </c>
      <c r="AH47">
        <f>AVERAGE(rarefaction_analysis_ad_chao1[[#This Row],[depth-1073_iter-1]:[depth-1073_iter-10]])</f>
        <v>49.221785714285708</v>
      </c>
      <c r="AI47">
        <v>51</v>
      </c>
      <c r="AJ47">
        <v>48</v>
      </c>
      <c r="AK47">
        <v>48.25</v>
      </c>
      <c r="AL47">
        <v>49</v>
      </c>
      <c r="AM47">
        <v>49.2</v>
      </c>
      <c r="AN47">
        <v>53</v>
      </c>
      <c r="AO47">
        <v>48.2</v>
      </c>
      <c r="AP47">
        <v>49.75</v>
      </c>
      <c r="AQ47">
        <v>50.2</v>
      </c>
      <c r="AR47">
        <v>52.75</v>
      </c>
      <c r="AS47">
        <f>AVERAGE(rarefaction_analysis_ad_chao1[[#This Row],[depth-1609_iter-1]:[depth-1609_iter-10]])</f>
        <v>49.934999999999995</v>
      </c>
      <c r="AT47">
        <v>52</v>
      </c>
      <c r="AU47">
        <v>49</v>
      </c>
      <c r="AV47">
        <v>50.25</v>
      </c>
      <c r="AW47">
        <v>52</v>
      </c>
      <c r="AX47">
        <v>60</v>
      </c>
      <c r="AY47">
        <v>50.25</v>
      </c>
      <c r="AZ47">
        <v>50</v>
      </c>
      <c r="BA47">
        <v>50</v>
      </c>
      <c r="BB47">
        <v>50</v>
      </c>
      <c r="BC47">
        <v>50</v>
      </c>
      <c r="BD47">
        <f>AVERAGE(rarefaction_analysis_ad_chao1[[#This Row],[depth-2145_iter-1]:[depth-2145_iter-10]])</f>
        <v>51.35</v>
      </c>
      <c r="BE47">
        <v>49</v>
      </c>
      <c r="BF47">
        <v>48</v>
      </c>
      <c r="BG47">
        <v>50</v>
      </c>
      <c r="BH47">
        <v>48</v>
      </c>
      <c r="BI47">
        <v>50.333333333333336</v>
      </c>
      <c r="BJ47">
        <v>50</v>
      </c>
      <c r="BK47">
        <v>50</v>
      </c>
      <c r="BL47">
        <v>50</v>
      </c>
      <c r="BM47">
        <v>50.5</v>
      </c>
      <c r="BN47">
        <v>51.5</v>
      </c>
      <c r="BO47">
        <f>AVERAGE(rarefaction_analysis_ad_chao1[[#This Row],[depth-2682_iter-1]:[depth-2682_iter-10]])</f>
        <v>49.733333333333334</v>
      </c>
      <c r="BP47">
        <v>50</v>
      </c>
      <c r="BQ47">
        <v>51</v>
      </c>
      <c r="BR47">
        <v>51</v>
      </c>
      <c r="BS47">
        <v>50</v>
      </c>
      <c r="BT47">
        <v>50</v>
      </c>
      <c r="BU47">
        <v>50</v>
      </c>
      <c r="BV47">
        <v>50</v>
      </c>
      <c r="BW47">
        <v>50</v>
      </c>
      <c r="BX47">
        <v>50</v>
      </c>
      <c r="BY47">
        <v>51</v>
      </c>
      <c r="BZ47">
        <f>AVERAGE(rarefaction_analysis_ad_chao1[[#This Row],[depth-3218_iter-1]:[depth-3218_iter-10]])</f>
        <v>50.3</v>
      </c>
      <c r="CA47">
        <v>50</v>
      </c>
      <c r="CB47">
        <v>50</v>
      </c>
      <c r="CC47">
        <v>50</v>
      </c>
      <c r="CD47">
        <v>50</v>
      </c>
      <c r="CE47">
        <v>50</v>
      </c>
      <c r="CF47">
        <v>50</v>
      </c>
      <c r="CG47">
        <v>50</v>
      </c>
      <c r="CH47">
        <v>50</v>
      </c>
      <c r="CI47">
        <v>50</v>
      </c>
      <c r="CJ47">
        <v>50</v>
      </c>
      <c r="CK47">
        <f>AVERAGE(rarefaction_analysis_ad_chao1[[#This Row],[depth-3754_iter-1]:[depth-3754_iter-10]])</f>
        <v>50</v>
      </c>
      <c r="CL47">
        <v>51</v>
      </c>
      <c r="CM47">
        <v>50</v>
      </c>
      <c r="CN47">
        <v>50</v>
      </c>
      <c r="CO47">
        <v>50</v>
      </c>
      <c r="CP47">
        <v>50</v>
      </c>
      <c r="CQ47">
        <v>50</v>
      </c>
      <c r="CR47">
        <v>50</v>
      </c>
      <c r="CS47">
        <v>50</v>
      </c>
      <c r="CT47">
        <v>50</v>
      </c>
      <c r="CU47">
        <v>50</v>
      </c>
      <c r="CV47">
        <f>AVERAGE(rarefaction_analysis_ad_chao1[[#This Row],[depth-4290_iter-1]:[depth-4290_iter-10]])</f>
        <v>50.1</v>
      </c>
      <c r="DG47" t="e">
        <f>AVERAGE(rarefaction_analysis_ad_chao1[[#This Row],[depth-4827_iter-1]:[depth-4827_iter-10]])</f>
        <v>#DIV/0!</v>
      </c>
      <c r="DH47" t="s">
        <v>139</v>
      </c>
      <c r="DI47">
        <v>435</v>
      </c>
      <c r="DJ47" t="s">
        <v>117</v>
      </c>
      <c r="DK47" t="s">
        <v>121</v>
      </c>
      <c r="DL47" t="s">
        <v>112</v>
      </c>
      <c r="DM47" t="s">
        <v>113</v>
      </c>
      <c r="DN47" t="s">
        <v>118</v>
      </c>
    </row>
    <row r="48" spans="1:118" x14ac:dyDescent="0.35">
      <c r="A48" t="s">
        <v>142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f>AVERAGE(rarefaction_analysis_ad_chao1[[#This Row],[depth-1_iter-1]:[depth-1_iter-10]])</f>
        <v>1</v>
      </c>
      <c r="M48">
        <v>30</v>
      </c>
      <c r="N48">
        <v>35</v>
      </c>
      <c r="O48">
        <v>32.5</v>
      </c>
      <c r="P48">
        <v>34.333333333333336</v>
      </c>
      <c r="Q48">
        <v>31.5</v>
      </c>
      <c r="R48">
        <v>31.5</v>
      </c>
      <c r="S48">
        <v>30.142857142857142</v>
      </c>
      <c r="T48">
        <v>33.200000000000003</v>
      </c>
      <c r="U48">
        <v>30</v>
      </c>
      <c r="V48">
        <v>32.200000000000003</v>
      </c>
      <c r="W48">
        <f>AVERAGE(rarefaction_analysis_ad_chao1[[#This Row],[depth-537_iter-1]:[depth-537_iter-10]])</f>
        <v>32.037619047619046</v>
      </c>
      <c r="X48">
        <v>33</v>
      </c>
      <c r="Y48">
        <v>33.5</v>
      </c>
      <c r="Z48">
        <v>34.333333333333336</v>
      </c>
      <c r="AA48">
        <v>33</v>
      </c>
      <c r="AB48">
        <v>41</v>
      </c>
      <c r="AC48">
        <v>31</v>
      </c>
      <c r="AD48">
        <v>34.333333333333336</v>
      </c>
      <c r="AE48">
        <v>34.200000000000003</v>
      </c>
      <c r="AF48">
        <v>33</v>
      </c>
      <c r="AG48">
        <v>32</v>
      </c>
      <c r="AH48">
        <f>AVERAGE(rarefaction_analysis_ad_chao1[[#This Row],[depth-1073_iter-1]:[depth-1073_iter-10]])</f>
        <v>33.936666666666667</v>
      </c>
      <c r="AI48">
        <v>33</v>
      </c>
      <c r="AJ48">
        <v>32</v>
      </c>
      <c r="AK48">
        <v>34</v>
      </c>
      <c r="AL48">
        <v>33</v>
      </c>
      <c r="AM48">
        <v>34</v>
      </c>
      <c r="AN48">
        <v>34</v>
      </c>
      <c r="AO48">
        <v>34</v>
      </c>
      <c r="AP48">
        <v>34</v>
      </c>
      <c r="AQ48">
        <v>34</v>
      </c>
      <c r="AR48">
        <v>33.5</v>
      </c>
      <c r="AS48">
        <f>AVERAGE(rarefaction_analysis_ad_chao1[[#This Row],[depth-1609_iter-1]:[depth-1609_iter-10]])</f>
        <v>33.549999999999997</v>
      </c>
      <c r="AT48">
        <v>34</v>
      </c>
      <c r="AU48">
        <v>34</v>
      </c>
      <c r="AV48">
        <v>34</v>
      </c>
      <c r="AW48">
        <v>34</v>
      </c>
      <c r="AX48">
        <v>34</v>
      </c>
      <c r="AY48">
        <v>34</v>
      </c>
      <c r="AZ48">
        <v>34</v>
      </c>
      <c r="BA48">
        <v>33</v>
      </c>
      <c r="BB48">
        <v>33</v>
      </c>
      <c r="BC48">
        <v>34</v>
      </c>
      <c r="BD48">
        <f>AVERAGE(rarefaction_analysis_ad_chao1[[#This Row],[depth-2145_iter-1]:[depth-2145_iter-10]])</f>
        <v>33.799999999999997</v>
      </c>
      <c r="BE48">
        <v>35</v>
      </c>
      <c r="BF48">
        <v>34</v>
      </c>
      <c r="BG48">
        <v>34</v>
      </c>
      <c r="BH48">
        <v>34</v>
      </c>
      <c r="BI48">
        <v>34</v>
      </c>
      <c r="BJ48">
        <v>34</v>
      </c>
      <c r="BK48">
        <v>34</v>
      </c>
      <c r="BL48">
        <v>34</v>
      </c>
      <c r="BM48">
        <v>34</v>
      </c>
      <c r="BN48">
        <v>34</v>
      </c>
      <c r="BO48">
        <f>AVERAGE(rarefaction_analysis_ad_chao1[[#This Row],[depth-2682_iter-1]:[depth-2682_iter-10]])</f>
        <v>34.1</v>
      </c>
      <c r="BP48">
        <v>34</v>
      </c>
      <c r="BQ48">
        <v>34</v>
      </c>
      <c r="BR48">
        <v>34</v>
      </c>
      <c r="BS48">
        <v>34</v>
      </c>
      <c r="BT48">
        <v>34</v>
      </c>
      <c r="BU48">
        <v>34</v>
      </c>
      <c r="BV48">
        <v>34</v>
      </c>
      <c r="BW48">
        <v>34</v>
      </c>
      <c r="BX48">
        <v>34</v>
      </c>
      <c r="BY48">
        <v>34</v>
      </c>
      <c r="BZ48">
        <f>AVERAGE(rarefaction_analysis_ad_chao1[[#This Row],[depth-3218_iter-1]:[depth-3218_iter-10]])</f>
        <v>34</v>
      </c>
      <c r="CA48">
        <v>34</v>
      </c>
      <c r="CB48">
        <v>34</v>
      </c>
      <c r="CC48">
        <v>34</v>
      </c>
      <c r="CD48">
        <v>34</v>
      </c>
      <c r="CE48">
        <v>34</v>
      </c>
      <c r="CF48">
        <v>34</v>
      </c>
      <c r="CG48">
        <v>34</v>
      </c>
      <c r="CH48">
        <v>34</v>
      </c>
      <c r="CI48">
        <v>34</v>
      </c>
      <c r="CJ48">
        <v>34</v>
      </c>
      <c r="CK48">
        <f>AVERAGE(rarefaction_analysis_ad_chao1[[#This Row],[depth-3754_iter-1]:[depth-3754_iter-10]])</f>
        <v>34</v>
      </c>
      <c r="CV48" t="e">
        <f>AVERAGE(rarefaction_analysis_ad_chao1[[#This Row],[depth-4290_iter-1]:[depth-4290_iter-10]])</f>
        <v>#DIV/0!</v>
      </c>
      <c r="DG48" t="e">
        <f>AVERAGE(rarefaction_analysis_ad_chao1[[#This Row],[depth-4827_iter-1]:[depth-4827_iter-10]])</f>
        <v>#DIV/0!</v>
      </c>
      <c r="DH48" t="s">
        <v>143</v>
      </c>
      <c r="DI48">
        <v>456</v>
      </c>
      <c r="DJ48" t="s">
        <v>117</v>
      </c>
      <c r="DK48" t="s">
        <v>111</v>
      </c>
      <c r="DL48" t="s">
        <v>112</v>
      </c>
      <c r="DM48" t="s">
        <v>113</v>
      </c>
      <c r="DN48" t="s">
        <v>118</v>
      </c>
    </row>
    <row r="49" spans="1:118" x14ac:dyDescent="0.35">
      <c r="A49" t="s">
        <v>201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f>AVERAGE(rarefaction_analysis_ad_chao1[[#This Row],[depth-1_iter-1]:[depth-1_iter-10]])</f>
        <v>1</v>
      </c>
      <c r="M49">
        <v>48.625</v>
      </c>
      <c r="N49">
        <v>42.5</v>
      </c>
      <c r="O49">
        <v>38.666666666666657</v>
      </c>
      <c r="P49">
        <v>41</v>
      </c>
      <c r="Q49">
        <v>42.5</v>
      </c>
      <c r="R49">
        <v>54.2</v>
      </c>
      <c r="S49">
        <v>43</v>
      </c>
      <c r="T49">
        <v>43</v>
      </c>
      <c r="U49">
        <v>39</v>
      </c>
      <c r="V49">
        <v>42.6</v>
      </c>
      <c r="W49">
        <f>AVERAGE(rarefaction_analysis_ad_chao1[[#This Row],[depth-537_iter-1]:[depth-537_iter-10]])</f>
        <v>43.509166666666673</v>
      </c>
      <c r="X49">
        <v>45</v>
      </c>
      <c r="Y49">
        <v>40.166666666666657</v>
      </c>
      <c r="Z49">
        <v>42.5</v>
      </c>
      <c r="AA49">
        <v>43.666666666666657</v>
      </c>
      <c r="AB49">
        <v>40</v>
      </c>
      <c r="AC49">
        <v>40.200000000000003</v>
      </c>
      <c r="AD49">
        <v>42.6</v>
      </c>
      <c r="AE49">
        <v>44.666666666666657</v>
      </c>
      <c r="AF49">
        <v>44.142857142857146</v>
      </c>
      <c r="AG49">
        <v>43.333333333333336</v>
      </c>
      <c r="AH49">
        <f>AVERAGE(rarefaction_analysis_ad_chao1[[#This Row],[depth-1073_iter-1]:[depth-1073_iter-10]])</f>
        <v>42.627619047619042</v>
      </c>
      <c r="AI49">
        <v>44.333333333333336</v>
      </c>
      <c r="AJ49">
        <v>43</v>
      </c>
      <c r="AK49">
        <v>44</v>
      </c>
      <c r="AL49">
        <v>44</v>
      </c>
      <c r="AM49">
        <v>44</v>
      </c>
      <c r="AN49">
        <v>43</v>
      </c>
      <c r="AO49">
        <v>47</v>
      </c>
      <c r="AP49">
        <v>42</v>
      </c>
      <c r="AQ49">
        <v>45</v>
      </c>
      <c r="AR49">
        <v>45.6</v>
      </c>
      <c r="AS49">
        <f>AVERAGE(rarefaction_analysis_ad_chao1[[#This Row],[depth-1609_iter-1]:[depth-1609_iter-10]])</f>
        <v>44.193333333333342</v>
      </c>
      <c r="AT49">
        <v>44</v>
      </c>
      <c r="AU49">
        <v>44</v>
      </c>
      <c r="AV49">
        <v>45.5</v>
      </c>
      <c r="AW49">
        <v>45</v>
      </c>
      <c r="AX49">
        <v>44</v>
      </c>
      <c r="AY49">
        <v>43</v>
      </c>
      <c r="AZ49">
        <v>44</v>
      </c>
      <c r="BA49">
        <v>44</v>
      </c>
      <c r="BB49">
        <v>45</v>
      </c>
      <c r="BC49">
        <v>44</v>
      </c>
      <c r="BD49">
        <f>AVERAGE(rarefaction_analysis_ad_chao1[[#This Row],[depth-2145_iter-1]:[depth-2145_iter-10]])</f>
        <v>44.25</v>
      </c>
      <c r="BE49">
        <v>44</v>
      </c>
      <c r="BF49">
        <v>45</v>
      </c>
      <c r="BG49">
        <v>45</v>
      </c>
      <c r="BH49">
        <v>44</v>
      </c>
      <c r="BI49">
        <v>45</v>
      </c>
      <c r="BJ49">
        <v>43</v>
      </c>
      <c r="BK49">
        <v>45</v>
      </c>
      <c r="BL49">
        <v>44</v>
      </c>
      <c r="BM49">
        <v>45</v>
      </c>
      <c r="BN49">
        <v>44</v>
      </c>
      <c r="BO49">
        <f>AVERAGE(rarefaction_analysis_ad_chao1[[#This Row],[depth-2682_iter-1]:[depth-2682_iter-10]])</f>
        <v>44.4</v>
      </c>
      <c r="BP49">
        <v>45.5</v>
      </c>
      <c r="BQ49">
        <v>45</v>
      </c>
      <c r="BR49">
        <v>45</v>
      </c>
      <c r="BS49">
        <v>46</v>
      </c>
      <c r="BT49">
        <v>44</v>
      </c>
      <c r="BU49">
        <v>45</v>
      </c>
      <c r="BV49">
        <v>44</v>
      </c>
      <c r="BW49">
        <v>45</v>
      </c>
      <c r="BX49">
        <v>45</v>
      </c>
      <c r="BY49">
        <v>46</v>
      </c>
      <c r="BZ49">
        <f>AVERAGE(rarefaction_analysis_ad_chao1[[#This Row],[depth-3218_iter-1]:[depth-3218_iter-10]])</f>
        <v>45.05</v>
      </c>
      <c r="CA49">
        <v>45</v>
      </c>
      <c r="CB49">
        <v>45</v>
      </c>
      <c r="CC49">
        <v>45</v>
      </c>
      <c r="CD49">
        <v>45</v>
      </c>
      <c r="CE49">
        <v>45</v>
      </c>
      <c r="CF49">
        <v>45</v>
      </c>
      <c r="CG49">
        <v>46</v>
      </c>
      <c r="CH49">
        <v>45</v>
      </c>
      <c r="CI49">
        <v>45</v>
      </c>
      <c r="CJ49">
        <v>45</v>
      </c>
      <c r="CK49">
        <f>AVERAGE(rarefaction_analysis_ad_chao1[[#This Row],[depth-3754_iter-1]:[depth-3754_iter-10]])</f>
        <v>45.1</v>
      </c>
      <c r="CL49">
        <v>45</v>
      </c>
      <c r="CM49">
        <v>45</v>
      </c>
      <c r="CN49">
        <v>45</v>
      </c>
      <c r="CO49">
        <v>45</v>
      </c>
      <c r="CP49">
        <v>45</v>
      </c>
      <c r="CQ49">
        <v>45</v>
      </c>
      <c r="CR49">
        <v>45</v>
      </c>
      <c r="CS49">
        <v>45</v>
      </c>
      <c r="CT49">
        <v>45</v>
      </c>
      <c r="CU49">
        <v>45</v>
      </c>
      <c r="CV49">
        <f>AVERAGE(rarefaction_analysis_ad_chao1[[#This Row],[depth-4290_iter-1]:[depth-4290_iter-10]])</f>
        <v>45</v>
      </c>
      <c r="DG49" t="e">
        <f>AVERAGE(rarefaction_analysis_ad_chao1[[#This Row],[depth-4827_iter-1]:[depth-4827_iter-10]])</f>
        <v>#DIV/0!</v>
      </c>
      <c r="DH49" t="s">
        <v>202</v>
      </c>
      <c r="DI49">
        <v>437</v>
      </c>
      <c r="DJ49" t="s">
        <v>117</v>
      </c>
      <c r="DK49" t="s">
        <v>121</v>
      </c>
      <c r="DL49" t="s">
        <v>112</v>
      </c>
      <c r="DM49" t="s">
        <v>113</v>
      </c>
      <c r="DN49" t="s">
        <v>118</v>
      </c>
    </row>
    <row r="50" spans="1:118" x14ac:dyDescent="0.35">
      <c r="A50" s="1" t="s">
        <v>245</v>
      </c>
      <c r="B50">
        <f>MEDIAN(B2:B13)</f>
        <v>1</v>
      </c>
      <c r="C50">
        <f t="shared" ref="C50:K50" si="0">MEDIAN(C2:C13)</f>
        <v>1</v>
      </c>
      <c r="D50">
        <f t="shared" si="0"/>
        <v>1</v>
      </c>
      <c r="E50">
        <f t="shared" si="0"/>
        <v>1</v>
      </c>
      <c r="F50">
        <f t="shared" si="0"/>
        <v>1</v>
      </c>
      <c r="G50">
        <f t="shared" si="0"/>
        <v>1</v>
      </c>
      <c r="H50">
        <f t="shared" si="0"/>
        <v>1</v>
      </c>
      <c r="I50">
        <f t="shared" si="0"/>
        <v>1</v>
      </c>
      <c r="J50">
        <f t="shared" si="0"/>
        <v>1</v>
      </c>
      <c r="K50">
        <f t="shared" si="0"/>
        <v>1</v>
      </c>
      <c r="L50">
        <f>AVERAGE(rarefaction_analysis_ad_chao1[[#This Row],[depth-1_iter-1]:[depth-1_iter-10]])</f>
        <v>1</v>
      </c>
      <c r="M50">
        <f>MEDIAN(M2:M13)</f>
        <v>36.666666666666657</v>
      </c>
      <c r="N50">
        <f t="shared" ref="N50:V50" si="1">MEDIAN(N2:N13)</f>
        <v>39.25</v>
      </c>
      <c r="O50">
        <f t="shared" si="1"/>
        <v>39.5</v>
      </c>
      <c r="P50">
        <f t="shared" si="1"/>
        <v>38.5</v>
      </c>
      <c r="Q50">
        <f t="shared" si="1"/>
        <v>39.200000000000003</v>
      </c>
      <c r="R50">
        <f t="shared" si="1"/>
        <v>40.428571428571431</v>
      </c>
      <c r="S50">
        <f t="shared" si="1"/>
        <v>43.875</v>
      </c>
      <c r="T50">
        <f t="shared" si="1"/>
        <v>40</v>
      </c>
      <c r="U50">
        <f t="shared" si="1"/>
        <v>37.428571428571431</v>
      </c>
      <c r="V50">
        <f t="shared" si="1"/>
        <v>43</v>
      </c>
      <c r="W50">
        <f>AVERAGE(rarefaction_analysis_ad_chao1[[#This Row],[depth-537_iter-1]:[depth-537_iter-10]])</f>
        <v>39.784880952380959</v>
      </c>
      <c r="X50">
        <f>MEDIAN(X2:X13)</f>
        <v>45</v>
      </c>
      <c r="Y50">
        <f t="shared" ref="Y50:AH50" si="2">MEDIAN(Y2:Y13)</f>
        <v>42.142857142857146</v>
      </c>
      <c r="Z50">
        <f t="shared" si="2"/>
        <v>40.090909090909093</v>
      </c>
      <c r="AA50">
        <f t="shared" si="2"/>
        <v>43</v>
      </c>
      <c r="AB50">
        <f t="shared" si="2"/>
        <v>45</v>
      </c>
      <c r="AC50">
        <f t="shared" si="2"/>
        <v>42.75</v>
      </c>
      <c r="AD50">
        <f t="shared" si="2"/>
        <v>41</v>
      </c>
      <c r="AE50">
        <f t="shared" si="2"/>
        <v>44.428571428571431</v>
      </c>
      <c r="AF50">
        <f t="shared" si="2"/>
        <v>42.5</v>
      </c>
      <c r="AG50">
        <f t="shared" si="2"/>
        <v>43</v>
      </c>
      <c r="AH50">
        <f>MEDIAN(rarefaction_analysis_ad_chao1[[#This Row],[depth-1073_iter-1]:[depth-1073_iter-10]])</f>
        <v>42.875</v>
      </c>
      <c r="AI50">
        <f>MEDIAN(AI2:AI13)</f>
        <v>42.75</v>
      </c>
      <c r="AJ50">
        <f t="shared" ref="AJ50:CU50" si="3">MEDIAN(AJ2:AJ13)</f>
        <v>43.2</v>
      </c>
      <c r="AK50">
        <f t="shared" si="3"/>
        <v>41.2</v>
      </c>
      <c r="AL50">
        <f t="shared" si="3"/>
        <v>44</v>
      </c>
      <c r="AM50">
        <f t="shared" si="3"/>
        <v>42.6</v>
      </c>
      <c r="AN50">
        <f t="shared" si="3"/>
        <v>43.125</v>
      </c>
      <c r="AO50">
        <f t="shared" si="3"/>
        <v>43.5</v>
      </c>
      <c r="AP50">
        <f t="shared" si="3"/>
        <v>43</v>
      </c>
      <c r="AQ50">
        <f t="shared" si="3"/>
        <v>43.375</v>
      </c>
      <c r="AR50">
        <f t="shared" si="3"/>
        <v>43.5</v>
      </c>
      <c r="AS50">
        <f>MEDIAN(rarefaction_analysis_ad_chao1[[#This Row],[depth-1609_iter-1]:[depth-1609_iter-10]])</f>
        <v>43.162500000000001</v>
      </c>
      <c r="AT50">
        <f t="shared" si="3"/>
        <v>43.75</v>
      </c>
      <c r="AU50">
        <f t="shared" si="3"/>
        <v>43.142857142857146</v>
      </c>
      <c r="AV50">
        <f t="shared" si="3"/>
        <v>43.2</v>
      </c>
      <c r="AW50">
        <f t="shared" si="3"/>
        <v>46</v>
      </c>
      <c r="AX50">
        <f t="shared" si="3"/>
        <v>43.2</v>
      </c>
      <c r="AY50">
        <f t="shared" si="3"/>
        <v>43.5</v>
      </c>
      <c r="AZ50">
        <f t="shared" si="3"/>
        <v>44.25</v>
      </c>
      <c r="BA50">
        <f t="shared" si="3"/>
        <v>43.2</v>
      </c>
      <c r="BB50">
        <f t="shared" si="3"/>
        <v>45</v>
      </c>
      <c r="BC50">
        <f t="shared" si="3"/>
        <v>44</v>
      </c>
      <c r="BD50">
        <f>MEDIAN(rarefaction_analysis_ad_chao1[[#This Row],[depth-2145_iter-1]:[depth-2145_iter-10]])</f>
        <v>43.625</v>
      </c>
      <c r="BE50">
        <f t="shared" si="3"/>
        <v>45</v>
      </c>
      <c r="BF50">
        <f t="shared" si="3"/>
        <v>45.5</v>
      </c>
      <c r="BG50">
        <f t="shared" si="3"/>
        <v>45.225000000000001</v>
      </c>
      <c r="BH50">
        <f t="shared" si="3"/>
        <v>44.666666666666671</v>
      </c>
      <c r="BI50">
        <f t="shared" si="3"/>
        <v>44.5</v>
      </c>
      <c r="BJ50">
        <f t="shared" si="3"/>
        <v>45.6</v>
      </c>
      <c r="BK50">
        <f t="shared" si="3"/>
        <v>46.05</v>
      </c>
      <c r="BL50">
        <f t="shared" si="3"/>
        <v>45.5</v>
      </c>
      <c r="BM50">
        <f t="shared" si="3"/>
        <v>45.166666666666671</v>
      </c>
      <c r="BN50">
        <f t="shared" si="3"/>
        <v>45.583333333333329</v>
      </c>
      <c r="BO50">
        <f>MEDIAN(rarefaction_analysis_ad_chao1[[#This Row],[depth-2682_iter-1]:[depth-2682_iter-10]])</f>
        <v>45.362499999999997</v>
      </c>
      <c r="BP50">
        <f t="shared" si="3"/>
        <v>45.5</v>
      </c>
      <c r="BQ50">
        <f t="shared" si="3"/>
        <v>45.5</v>
      </c>
      <c r="BR50">
        <f t="shared" si="3"/>
        <v>45.666666666666671</v>
      </c>
      <c r="BS50">
        <f t="shared" si="3"/>
        <v>45.6</v>
      </c>
      <c r="BT50">
        <f t="shared" si="3"/>
        <v>45</v>
      </c>
      <c r="BU50">
        <f t="shared" si="3"/>
        <v>45</v>
      </c>
      <c r="BV50">
        <f t="shared" si="3"/>
        <v>45</v>
      </c>
      <c r="BW50">
        <f t="shared" si="3"/>
        <v>45.5</v>
      </c>
      <c r="BX50">
        <f t="shared" si="3"/>
        <v>44</v>
      </c>
      <c r="BY50">
        <f t="shared" si="3"/>
        <v>45.75</v>
      </c>
      <c r="BZ50">
        <f>MEDIAN(rarefaction_analysis_ad_chao1[[#This Row],[depth-3218_iter-1]:[depth-3218_iter-10]])</f>
        <v>45.5</v>
      </c>
      <c r="CA50">
        <f t="shared" si="3"/>
        <v>45.5</v>
      </c>
      <c r="CB50">
        <f t="shared" si="3"/>
        <v>45.5</v>
      </c>
      <c r="CC50">
        <f t="shared" si="3"/>
        <v>45.25</v>
      </c>
      <c r="CD50">
        <f t="shared" si="3"/>
        <v>45</v>
      </c>
      <c r="CE50">
        <f t="shared" si="3"/>
        <v>45.5</v>
      </c>
      <c r="CF50">
        <f t="shared" si="3"/>
        <v>45</v>
      </c>
      <c r="CG50">
        <f t="shared" si="3"/>
        <v>45.5</v>
      </c>
      <c r="CH50">
        <f t="shared" si="3"/>
        <v>45.5</v>
      </c>
      <c r="CI50">
        <f t="shared" si="3"/>
        <v>45.5</v>
      </c>
      <c r="CJ50">
        <f t="shared" si="3"/>
        <v>45.75</v>
      </c>
      <c r="CK50">
        <f>MEDIAN(rarefaction_analysis_ad_chao1[[#This Row],[depth-3754_iter-1]:[depth-3754_iter-10]])</f>
        <v>45.5</v>
      </c>
      <c r="CL50">
        <f t="shared" si="3"/>
        <v>47</v>
      </c>
      <c r="CM50">
        <f t="shared" si="3"/>
        <v>47</v>
      </c>
      <c r="CN50">
        <f t="shared" si="3"/>
        <v>47</v>
      </c>
      <c r="CO50">
        <f t="shared" si="3"/>
        <v>47</v>
      </c>
      <c r="CP50">
        <f t="shared" si="3"/>
        <v>47</v>
      </c>
      <c r="CQ50">
        <f t="shared" si="3"/>
        <v>47</v>
      </c>
      <c r="CR50">
        <f t="shared" si="3"/>
        <v>47</v>
      </c>
      <c r="CS50">
        <f t="shared" si="3"/>
        <v>47</v>
      </c>
      <c r="CT50">
        <f t="shared" si="3"/>
        <v>47</v>
      </c>
      <c r="CU50">
        <f t="shared" si="3"/>
        <v>47</v>
      </c>
      <c r="CV50">
        <f>MEDIAN(rarefaction_analysis_ad_chao1[[#This Row],[depth-4290_iter-1]:[depth-4290_iter-10]])</f>
        <v>47</v>
      </c>
      <c r="CW50">
        <f t="shared" ref="CV50:DG50" si="4">MEDIAN(CW2:CW13)</f>
        <v>47</v>
      </c>
      <c r="CX50">
        <f t="shared" si="4"/>
        <v>47</v>
      </c>
      <c r="CY50">
        <f t="shared" si="4"/>
        <v>47</v>
      </c>
      <c r="CZ50">
        <f t="shared" si="4"/>
        <v>47</v>
      </c>
      <c r="DA50">
        <f t="shared" si="4"/>
        <v>47</v>
      </c>
      <c r="DB50">
        <f t="shared" si="4"/>
        <v>47</v>
      </c>
      <c r="DC50">
        <f t="shared" si="4"/>
        <v>47</v>
      </c>
      <c r="DD50">
        <f t="shared" si="4"/>
        <v>47</v>
      </c>
      <c r="DE50">
        <f t="shared" si="4"/>
        <v>47</v>
      </c>
      <c r="DF50">
        <f t="shared" si="4"/>
        <v>47</v>
      </c>
      <c r="DG50">
        <f>MEDIAN(rarefaction_analysis_ad_chao1[[#This Row],[depth-4827_iter-1]:[depth-4827_iter-10]])</f>
        <v>47</v>
      </c>
      <c r="DH50" s="1"/>
      <c r="DJ50" s="1"/>
      <c r="DK50" s="1"/>
      <c r="DL50" s="1"/>
      <c r="DM50" s="1"/>
      <c r="DN50" s="1"/>
    </row>
    <row r="52" spans="1:118" x14ac:dyDescent="0.35">
      <c r="D52" t="s">
        <v>243</v>
      </c>
    </row>
    <row r="53" spans="1:118" x14ac:dyDescent="0.35">
      <c r="E53" t="s">
        <v>220</v>
      </c>
      <c r="F53" t="s">
        <v>221</v>
      </c>
      <c r="G53" t="s">
        <v>222</v>
      </c>
    </row>
    <row r="54" spans="1:118" x14ac:dyDescent="0.35">
      <c r="D54" t="s">
        <v>223</v>
      </c>
      <c r="E54">
        <f>MEDIAN(L2:L13)</f>
        <v>1</v>
      </c>
      <c r="F54">
        <f>_xlfn.PERCENTILE.INC(L2:L13,0.25)</f>
        <v>1</v>
      </c>
      <c r="G54">
        <f>_xlfn.PERCENTILE.INC(L2:L13,0.75)</f>
        <v>1</v>
      </c>
    </row>
    <row r="55" spans="1:118" x14ac:dyDescent="0.35">
      <c r="D55" t="s">
        <v>224</v>
      </c>
      <c r="E55">
        <f>MEDIAN(W3:W13)</f>
        <v>40.27095238095238</v>
      </c>
      <c r="F55">
        <f>_xlfn.PERCENTILE.INC(W3:W13,0.25)</f>
        <v>34.03</v>
      </c>
      <c r="G55">
        <f>_xlfn.PERCENTILE.INC(W3:W13,0.75)</f>
        <v>44.165277777777774</v>
      </c>
    </row>
    <row r="56" spans="1:118" x14ac:dyDescent="0.35">
      <c r="D56" t="s">
        <v>225</v>
      </c>
      <c r="E56">
        <f>MEDIAN(AH3:AH13)</f>
        <v>42.749805194805198</v>
      </c>
      <c r="F56">
        <f>_xlfn.PERCENTILE.INC(AH3:AH13,0.25)</f>
        <v>35.0075</v>
      </c>
      <c r="G56">
        <f>_xlfn.PERCENTILE.INC(AH3:AH13,0.75)</f>
        <v>46.737460317460318</v>
      </c>
    </row>
    <row r="57" spans="1:118" x14ac:dyDescent="0.35">
      <c r="D57" t="s">
        <v>226</v>
      </c>
      <c r="E57">
        <f>MEDIAN(AS3:AS13)</f>
        <v>43.075000000000003</v>
      </c>
      <c r="F57">
        <f>_xlfn.PERCENTILE.INC(AS3:AS13,0.25)</f>
        <v>35.9</v>
      </c>
      <c r="G57">
        <f>_xlfn.PERCENTILE.INC(AS3:AS13,0.75)</f>
        <v>47.28261904761905</v>
      </c>
    </row>
    <row r="58" spans="1:118" x14ac:dyDescent="0.35">
      <c r="D58" t="s">
        <v>227</v>
      </c>
      <c r="E58">
        <f>MEDIAN(BD3:BD13)</f>
        <v>44.074285714285715</v>
      </c>
      <c r="F58">
        <f>_xlfn.PERCENTILE.INC(BD3:BD13,0.25)</f>
        <v>36.129166666666663</v>
      </c>
      <c r="G58">
        <f>_xlfn.PERCENTILE.INC(BD3:BD13,0.75)</f>
        <v>47.400000000000006</v>
      </c>
    </row>
    <row r="59" spans="1:118" x14ac:dyDescent="0.35">
      <c r="D59" t="s">
        <v>228</v>
      </c>
      <c r="E59">
        <f>MEDIAN(BO3, BO5:BO13)</f>
        <v>45.404166666666669</v>
      </c>
      <c r="F59">
        <f>_xlfn.PERCENTILE.INC(_xlfn.VSTACK(BO3,BO5:BO13),0.25)</f>
        <v>37.193749999999994</v>
      </c>
      <c r="G59">
        <f>_xlfn.PERCENTILE.INC(_xlfn.VSTACK(BO3,BO5:BO13),0.75)</f>
        <v>47.681249999999999</v>
      </c>
    </row>
    <row r="60" spans="1:118" x14ac:dyDescent="0.35">
      <c r="D60" t="s">
        <v>229</v>
      </c>
      <c r="E60">
        <f>MEDIAN(BZ3,BZ5:BZ13)</f>
        <v>45.368333333333339</v>
      </c>
      <c r="F60">
        <f>_xlfn.PERCENTILE.INC(_xlfn.VSTACK(BZ3,BZ5:BZ13),0.25)</f>
        <v>37.400000000000006</v>
      </c>
      <c r="G60">
        <f>_xlfn.PERCENTILE.INC(_xlfn.VSTACK(BZ3,BZ5:BZ13),0.75)</f>
        <v>47.637500000000003</v>
      </c>
    </row>
    <row r="61" spans="1:118" x14ac:dyDescent="0.35">
      <c r="D61" t="s">
        <v>230</v>
      </c>
      <c r="E61">
        <f>MEDIAN(CK3,CK5:CK13)</f>
        <v>45.400000000000006</v>
      </c>
      <c r="F61">
        <f>_xlfn.PERCENTILE.INC(_xlfn.VSTACK(CK3,CK5:CK13),0.25)</f>
        <v>37.25</v>
      </c>
      <c r="G61">
        <f>_xlfn.PERCENTILE.INC(_xlfn.VSTACK(CK3,CK5:CK13),0.75)</f>
        <v>47.75</v>
      </c>
    </row>
    <row r="62" spans="1:118" x14ac:dyDescent="0.35">
      <c r="D62" t="s">
        <v>231</v>
      </c>
      <c r="E62">
        <f>MEDIAN(CV3,CV6:CV10,CV12:CV13)</f>
        <v>47</v>
      </c>
      <c r="F62">
        <f>_xlfn.PERCENTILE.INC(_xlfn.VSTACK(CV3,CV6:CV10,CV12:CV13),0.25)</f>
        <v>41.849999999999994</v>
      </c>
      <c r="G62">
        <f>_xlfn.PERCENTILE.INC(_xlfn.VSTACK(CV3,CV6:CV10,CV12:CV13),0.75)</f>
        <v>48.25</v>
      </c>
    </row>
    <row r="63" spans="1:118" x14ac:dyDescent="0.35">
      <c r="D63" t="s">
        <v>232</v>
      </c>
      <c r="E63">
        <f>MEDIAN(DG9)</f>
        <v>47</v>
      </c>
      <c r="F63">
        <f>_xlfn.PERCENTILE.INC(DG9,0.25)</f>
        <v>47</v>
      </c>
      <c r="G63">
        <f>_xlfn.PERCENTILE.INC(DG9,0.75)</f>
        <v>47</v>
      </c>
    </row>
    <row r="68" spans="4:7" x14ac:dyDescent="0.35">
      <c r="D68" t="s">
        <v>244</v>
      </c>
    </row>
    <row r="69" spans="4:7" x14ac:dyDescent="0.35">
      <c r="E69" t="s">
        <v>220</v>
      </c>
      <c r="F69" t="s">
        <v>221</v>
      </c>
      <c r="G69" t="s">
        <v>222</v>
      </c>
    </row>
    <row r="70" spans="4:7" x14ac:dyDescent="0.35">
      <c r="D70" t="s">
        <v>223</v>
      </c>
      <c r="E70">
        <f>MEDIAN(B50:K50)</f>
        <v>1</v>
      </c>
      <c r="F70">
        <f>_xlfn.PERCENTILE.INC(B50:K50,0.25)</f>
        <v>1</v>
      </c>
      <c r="G70">
        <f>_xlfn.PERCENTILE.INC(B50:K50,0.75)</f>
        <v>1</v>
      </c>
    </row>
    <row r="71" spans="4:7" x14ac:dyDescent="0.35">
      <c r="D71" t="s">
        <v>224</v>
      </c>
      <c r="E71">
        <f>MEDIAN(M50:V50)</f>
        <v>39.375</v>
      </c>
      <c r="F71">
        <f>_xlfn.PERCENTILE.INC(M50:V50,0.25)</f>
        <v>38.674999999999997</v>
      </c>
      <c r="G71">
        <f>_xlfn.PERCENTILE.INC(M50:V50,0.75)</f>
        <v>40.321428571428569</v>
      </c>
    </row>
    <row r="72" spans="4:7" x14ac:dyDescent="0.35">
      <c r="D72" t="s">
        <v>225</v>
      </c>
      <c r="E72">
        <f>MEDIAN(X50:AG50)</f>
        <v>42.875</v>
      </c>
      <c r="F72">
        <f>_xlfn.PERCENTILE.INC(X50:AG50,0.25)</f>
        <v>42.232142857142861</v>
      </c>
      <c r="G72">
        <f>_xlfn.PERCENTILE.INC(X50:AG50,0.75)</f>
        <v>44.071428571428569</v>
      </c>
    </row>
    <row r="73" spans="4:7" x14ac:dyDescent="0.35">
      <c r="D73" t="s">
        <v>226</v>
      </c>
      <c r="E73">
        <f>MEDIAN(AI50:AR50)</f>
        <v>43.162500000000001</v>
      </c>
      <c r="F73">
        <f>_xlfn.PERCENTILE.INC(AI50:AR50,0.25)</f>
        <v>42.8125</v>
      </c>
      <c r="G73">
        <f>_xlfn.PERCENTILE.INC(AI50:AR50,0.75)</f>
        <v>43.46875</v>
      </c>
    </row>
    <row r="74" spans="4:7" x14ac:dyDescent="0.35">
      <c r="D74" t="s">
        <v>227</v>
      </c>
      <c r="E74">
        <f>MEDIAN(AT50:BC50)</f>
        <v>43.625</v>
      </c>
      <c r="F74">
        <f>_xlfn.PERCENTILE.INC(AT50:BC50,0.25)</f>
        <v>43.2</v>
      </c>
      <c r="G74">
        <f>_xlfn.PERCENTILE.INC(AT50:BC50,0.75)</f>
        <v>44.1875</v>
      </c>
    </row>
    <row r="75" spans="4:7" x14ac:dyDescent="0.35">
      <c r="D75" t="s">
        <v>228</v>
      </c>
      <c r="E75">
        <f>MEDIAN(BE50:BN50)</f>
        <v>45.362499999999997</v>
      </c>
      <c r="F75">
        <f>_xlfn.PERCENTILE.INC(BE50:BN50,0.25)</f>
        <v>45.041666666666671</v>
      </c>
      <c r="G75">
        <f>_xlfn.PERCENTILE.INC(BE50:BN50,0.75)</f>
        <v>45.5625</v>
      </c>
    </row>
    <row r="76" spans="4:7" x14ac:dyDescent="0.35">
      <c r="D76" t="s">
        <v>229</v>
      </c>
      <c r="E76">
        <f>MEDIAN(BP50:BY50)</f>
        <v>45.5</v>
      </c>
      <c r="F76">
        <f>_xlfn.PERCENTILE.INC(BP50:BY50,0.25)</f>
        <v>45</v>
      </c>
      <c r="G76">
        <f>_xlfn.PERCENTILE.INC(BP50:BY50,0.75)</f>
        <v>45.575000000000003</v>
      </c>
    </row>
    <row r="77" spans="4:7" x14ac:dyDescent="0.35">
      <c r="D77" t="s">
        <v>230</v>
      </c>
      <c r="E77">
        <f>MEDIAN(CA50:CJ50)</f>
        <v>45.5</v>
      </c>
      <c r="F77">
        <f>_xlfn.PERCENTILE.INC(CA50:CJ50,0.25)</f>
        <v>45.3125</v>
      </c>
      <c r="G77">
        <f>_xlfn.PERCENTILE.INC(CA50:CJ50,0.75)</f>
        <v>45.5</v>
      </c>
    </row>
    <row r="78" spans="4:7" x14ac:dyDescent="0.35">
      <c r="D78" t="s">
        <v>231</v>
      </c>
      <c r="E78">
        <f>MEDIAN(CL50:CU50)</f>
        <v>47</v>
      </c>
      <c r="F78">
        <f>_xlfn.PERCENTILE.INC(CL50:CU50,0.25)</f>
        <v>47</v>
      </c>
      <c r="G78">
        <f>_xlfn.PERCENTILE.INC(CL50:CU50,0.75)</f>
        <v>47</v>
      </c>
    </row>
    <row r="79" spans="4:7" x14ac:dyDescent="0.35">
      <c r="D79" t="s">
        <v>232</v>
      </c>
      <c r="E79">
        <f>MEDIAN(CW50:DF50)</f>
        <v>47</v>
      </c>
      <c r="F79">
        <f>_xlfn.PERCENTILE.INC(CW50:DF50,0.25)</f>
        <v>47</v>
      </c>
      <c r="G79">
        <f>_xlfn.PERCENTILE.INC(CW50:DF50,0.75)</f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6397-2E12-41DD-8DED-437B06EBBFC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382638-4AA1-4CE7-A714-F2C78CB999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rarefaction_analysis_ad_chao1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  Andrea</dc:creator>
  <cp:lastModifiedBy>Hess  Andrea</cp:lastModifiedBy>
  <dcterms:created xsi:type="dcterms:W3CDTF">2026-06-29T14:51:03Z</dcterms:created>
  <dcterms:modified xsi:type="dcterms:W3CDTF">2026-06-30T16:11:39Z</dcterms:modified>
</cp:coreProperties>
</file>